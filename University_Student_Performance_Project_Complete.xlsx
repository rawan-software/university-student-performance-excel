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23040" windowHeight="9192" activeTab="3"/>
  </bookViews>
  <sheets>
    <sheet name="Raw Data" sheetId="1" r:id="rId1"/>
    <sheet name="Data Overview" sheetId="2" r:id="rId2"/>
    <sheet name="Clean Data" sheetId="3" r:id="rId3"/>
    <sheet name="Analysis" sheetId="4" r:id="rId4"/>
    <sheet name="Pivot Analysis" sheetId="5" r:id="rId5"/>
    <sheet name="Reflection" sheetId="6" r:id="rId6"/>
    <sheet name="Sheet2" sheetId="9" r:id="rId7"/>
    <sheet name="Dashboard" sheetId="7" r:id="rId8"/>
    <sheet name="Sheet1" sheetId="8" r:id="rId9"/>
  </sheets>
  <externalReferences>
    <externalReference r:id="rId10"/>
  </externalReferences>
  <definedNames>
    <definedName name="Slicer_Gender">#N/A</definedName>
    <definedName name="Slicer_Participation_Level">#N/A</definedName>
    <definedName name="Slicer_Semester">#N/A</definedName>
    <definedName name="Slicer_Study_Hours_Group">#N/A</definedName>
  </definedNames>
  <calcPr calcId="162913"/>
  <pivotCaches>
    <pivotCache cacheId="0" r:id="rId11"/>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4:slicerCache r:id="rId15"/>
      </x15:slicerCaches>
    </ext>
  </extLst>
</workbook>
</file>

<file path=xl/calcChain.xml><?xml version="1.0" encoding="utf-8"?>
<calcChain xmlns="http://schemas.openxmlformats.org/spreadsheetml/2006/main">
  <c r="B7" i="7" l="1"/>
  <c r="B14" i="4"/>
  <c r="B13" i="4" l="1"/>
  <c r="B12" i="4"/>
  <c r="B11" i="4"/>
  <c r="B10" i="4"/>
  <c r="B6" i="4"/>
  <c r="B6" i="7" s="1"/>
  <c r="B5" i="4"/>
  <c r="B5" i="7" s="1"/>
  <c r="B3" i="4"/>
  <c r="B3" i="7" s="1"/>
  <c r="P2" i="3" l="1"/>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2" i="3"/>
  <c r="N138"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9" i="3"/>
  <c r="N140" i="3"/>
  <c r="N141" i="3"/>
  <c r="N2" i="3"/>
  <c r="B4" i="4" l="1"/>
  <c r="B4" i="7" s="1"/>
</calcChain>
</file>

<file path=xl/connections.xml><?xml version="1.0" encoding="utf-8"?>
<connections xmlns="http://schemas.openxmlformats.org/spreadsheetml/2006/main">
  <connection id="1" sourceFile="C:\Users\USER\Documents\University_Student_Performance_Project_Complete.xlsx" keepAlive="1" name="University_Student_Performance_Project_Complete" type="5" refreshedVersion="6">
    <dbPr connection="Provider=Microsoft.ACE.OLEDB.12.0;User ID=Admin;Data Source=C:\Users\USER\Documents\University_Student_Performance_Project_Complete.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Clean Data$'" commandType="3"/>
  </connection>
</connections>
</file>

<file path=xl/sharedStrings.xml><?xml version="1.0" encoding="utf-8"?>
<sst xmlns="http://schemas.openxmlformats.org/spreadsheetml/2006/main" count="1272" uniqueCount="109">
  <si>
    <t>Student_ID</t>
  </si>
  <si>
    <t>Gender</t>
  </si>
  <si>
    <t>Age</t>
  </si>
  <si>
    <t>Major</t>
  </si>
  <si>
    <t>Study_Hours_per_Week</t>
  </si>
  <si>
    <t>Attendance_Percentage</t>
  </si>
  <si>
    <t>Assignments_Completed</t>
  </si>
  <si>
    <t>GPA</t>
  </si>
  <si>
    <t>Participation_Level</t>
  </si>
  <si>
    <t>Stress_Level</t>
  </si>
  <si>
    <t>Sleep_Hours</t>
  </si>
  <si>
    <t>Semester</t>
  </si>
  <si>
    <t>Male</t>
  </si>
  <si>
    <t>Computer Science</t>
  </si>
  <si>
    <t>Medium</t>
  </si>
  <si>
    <t>Spring 2024</t>
  </si>
  <si>
    <t>Female</t>
  </si>
  <si>
    <t>Low</t>
  </si>
  <si>
    <t>Fall 2024</t>
  </si>
  <si>
    <t>High</t>
  </si>
  <si>
    <t>Field</t>
  </si>
  <si>
    <t>Value</t>
  </si>
  <si>
    <t>Dataset Title</t>
  </si>
  <si>
    <t>Source</t>
  </si>
  <si>
    <t>Description</t>
  </si>
  <si>
    <t>Rows</t>
  </si>
  <si>
    <t>140</t>
  </si>
  <si>
    <t>Columns</t>
  </si>
  <si>
    <t>Notes</t>
  </si>
  <si>
    <t>Study_Hours_Group</t>
  </si>
  <si>
    <t>Pass_Fail</t>
  </si>
  <si>
    <t>Score_Index</t>
  </si>
  <si>
    <t>16-20</t>
  </si>
  <si>
    <t>Fail</t>
  </si>
  <si>
    <t>6-10</t>
  </si>
  <si>
    <t>11-15</t>
  </si>
  <si>
    <t>21+</t>
  </si>
  <si>
    <t>Pass</t>
  </si>
  <si>
    <t>0-5</t>
  </si>
  <si>
    <t>Average GPA</t>
  </si>
  <si>
    <t>Pass Rate (%)</t>
  </si>
  <si>
    <t>Average Attendance (%)</t>
  </si>
  <si>
    <t>Average Study Hours/week</t>
  </si>
  <si>
    <t>Avg_GPA</t>
  </si>
  <si>
    <t>Count</t>
  </si>
  <si>
    <t>Topic</t>
  </si>
  <si>
    <t>Project Introduction</t>
  </si>
  <si>
    <t>Dataset: University Student Performance (Computer Science). Source: UCI/Kaggle modeled sample.</t>
  </si>
  <si>
    <t>Data Preparation Summary</t>
  </si>
  <si>
    <t>Removed duplicates, fixed types, created Study_Hours_Group, Pass/Fail, and calculated Score_Index.</t>
  </si>
  <si>
    <t>Analysis Process</t>
  </si>
  <si>
    <t>Calculated KPIs, identified top/bottom students and created grouped summaries similar to Pivot Tables by Participation, Study Hours, and Semester.</t>
  </si>
  <si>
    <t>Dashboard Walkthrough</t>
  </si>
  <si>
    <t>KPIs at top; charts show Average GPA by Participation, Average GPA by Study Hours Group, and Pass/Fail distribution.</t>
  </si>
  <si>
    <t>Key Insights</t>
  </si>
  <si>
    <t>Higher study hours and higher attendance correlate with better GPA; students with High participation tend to have higher average GPA.</t>
  </si>
  <si>
    <t>Reflection</t>
  </si>
  <si>
    <t>Challenges: simulating realistic distributions; learned grouping, calculated metrics, and visual storytelling in Excel.</t>
  </si>
  <si>
    <t xml:space="preserve">University Student Performance </t>
  </si>
  <si>
    <t>UCI Machine Learning Repository</t>
  </si>
  <si>
    <t>This dataset contains information about university students’ academic performance,  study habits , and lifestyle factors. It helps analyze how various factors affect GPA and pass/fail  results.</t>
  </si>
  <si>
    <t>Performance_Category</t>
  </si>
  <si>
    <t>KPI Analysis</t>
  </si>
  <si>
    <t>Metric</t>
  </si>
  <si>
    <t>Formula Used</t>
  </si>
  <si>
    <t>Overall average GPA</t>
  </si>
  <si>
    <t>Percentage of passing students</t>
  </si>
  <si>
    <t>Average class attendance</t>
  </si>
  <si>
    <t>Average weekly study hours</t>
  </si>
  <si>
    <t>Conditional Analysis</t>
  </si>
  <si>
    <t>Average GPA - Male</t>
  </si>
  <si>
    <t>Average GPA for male students</t>
  </si>
  <si>
    <t>Average GPA - Female</t>
  </si>
  <si>
    <t>Average GPA for female students</t>
  </si>
  <si>
    <t>Passing Students Count</t>
  </si>
  <si>
    <t>Number of students with GPA &gt;= 2.0</t>
  </si>
  <si>
    <t>High Stress Students</t>
  </si>
  <si>
    <t>Students with stress level &gt; 5</t>
  </si>
  <si>
    <t>Study Efficiency Index</t>
  </si>
  <si>
    <t>GPA per study hour ratio</t>
  </si>
  <si>
    <t xml:space="preserve"> =AVERAGE(Table1[GPA])</t>
  </si>
  <si>
    <t xml:space="preserve"> =AVERAGE(Table1[Attendance_Percentage])</t>
  </si>
  <si>
    <t xml:space="preserve"> =AVERAGE(Table1[Study_Hours_per_Week])</t>
  </si>
  <si>
    <t xml:space="preserve"> =AVERAGEIF(Table1[Gender],"Female",Table1[GPA])</t>
  </si>
  <si>
    <t xml:space="preserve"> =AVERAGE(Table1[GPA]/Table1[Study_Hours_per_Week])</t>
  </si>
  <si>
    <t xml:space="preserve"> =COUNTIF(Table1[GPA],"&gt;=2")/COUNTA(Table1[GPA])*100</t>
  </si>
  <si>
    <t xml:space="preserve">  =AVERAGEIF(Table1[Gender],"Male",Table1[GPA])</t>
  </si>
  <si>
    <t xml:space="preserve"> =COUNTIF(Table1[GPA],"&gt;=2")</t>
  </si>
  <si>
    <t xml:space="preserve"> =COUNTIF(Table1[Stress_Level],"High")</t>
  </si>
  <si>
    <t>STUDENT PERFORMANCE DASHBOARD</t>
  </si>
  <si>
    <t>Key Performance Indicators</t>
  </si>
  <si>
    <t>Filters:</t>
  </si>
  <si>
    <t>Semester:</t>
  </si>
  <si>
    <t>All</t>
  </si>
  <si>
    <t>Gender:</t>
  </si>
  <si>
    <t>Participation:</t>
  </si>
  <si>
    <t>Average Study Hours</t>
  </si>
  <si>
    <t>Study Hours:</t>
  </si>
  <si>
    <t>Total Students</t>
  </si>
  <si>
    <t>Top Performing Students</t>
  </si>
  <si>
    <t>Student ID</t>
  </si>
  <si>
    <t>Study Hours</t>
  </si>
  <si>
    <t>Attendance</t>
  </si>
  <si>
    <t>Column1</t>
  </si>
  <si>
    <t>Column2</t>
  </si>
  <si>
    <t>Column3</t>
  </si>
  <si>
    <t>Row Labels</t>
  </si>
  <si>
    <t>Sum of Attendance_Percentage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</si>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</sst>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 x14ac:knownFonts="1">
    <font>
      <sz val="11"/>
      <color theme="1"/>
      <name val="Calibri"/>
      <family val="2"/>
      <scheme val="minor"/>
    </font>
    <font>
      <b/>
      <sz val="11"/>
      <name val="Calibri"/>
    </font>
    <font>
      <b/>
      <sz val="11"/>
      <color theme="0"/>
      <name val="Calibri"/>
      <family val="2"/>
      <scheme val="minor"/>
    </font>
  </fonts>
  <fills count="5">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theme="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2" fontId="1" fillId="0" borderId="2" xfId="0" applyNumberFormat="1" applyFont="1" applyBorder="1" applyAlignment="1">
      <alignment horizontal="center" vertical="top"/>
    </xf>
    <xf numFmtId="2" fontId="0" fillId="0" borderId="0" xfId="0" applyNumberFormat="1"/>
    <xf numFmtId="10" fontId="1" fillId="0" borderId="2" xfId="0" applyNumberFormat="1" applyFont="1" applyBorder="1" applyAlignment="1">
      <alignment horizontal="center" vertical="top"/>
    </xf>
    <xf numFmtId="164" fontId="0" fillId="0" borderId="0" xfId="0" applyNumberFormat="1"/>
    <xf numFmtId="1" fontId="0" fillId="0" borderId="0" xfId="0" applyNumberFormat="1"/>
    <xf numFmtId="49" fontId="0" fillId="0" borderId="0" xfId="0" applyNumberFormat="1"/>
    <xf numFmtId="0" fontId="0" fillId="3" borderId="3" xfId="0" applyFont="1" applyFill="1" applyBorder="1"/>
    <xf numFmtId="0" fontId="2" fillId="4" borderId="0" xfId="0" applyFont="1" applyFill="1" applyBorder="1"/>
    <xf numFmtId="0" fontId="2" fillId="4" borderId="4" xfId="0" applyFont="1" applyFill="1" applyBorder="1"/>
    <xf numFmtId="0" fontId="0" fillId="2" borderId="5" xfId="0" applyFont="1" applyFill="1" applyBorder="1"/>
    <xf numFmtId="0" fontId="0" fillId="2" borderId="6" xfId="0" applyFont="1" applyFill="1" applyBorder="1"/>
    <xf numFmtId="0" fontId="0" fillId="3" borderId="7" xfId="0" applyFont="1" applyFill="1" applyBorder="1"/>
    <xf numFmtId="0" fontId="0" fillId="2" borderId="7" xfId="0" applyFont="1" applyFill="1" applyBorder="1"/>
    <xf numFmtId="0" fontId="0" fillId="2" borderId="3" xfId="0" applyFont="1" applyFill="1" applyBorder="1"/>
    <xf numFmtId="10" fontId="0" fillId="3" borderId="3" xfId="0" applyNumberFormat="1" applyFont="1" applyFill="1" applyBorder="1"/>
    <xf numFmtId="10" fontId="0" fillId="2" borderId="3" xfId="0" applyNumberFormat="1" applyFont="1" applyFill="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3">
    <dxf>
      <numFmt numFmtId="0" formatCode="General"/>
    </dxf>
    <dxf>
      <numFmt numFmtId="2" formatCode="0.00"/>
    </dxf>
    <dxf>
      <numFmt numFmtId="14" formatCode="0.00%"/>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C00000"/>
        </patternFill>
      </fill>
    </dxf>
    <dxf>
      <fill>
        <patternFill>
          <bgColor rgb="FFC00000"/>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externalLink" Target="externalLinks/externalLink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GPA by Participation Level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Analysis'!$B$1</c:f>
              <c:strCache>
                <c:ptCount val="1"/>
                <c:pt idx="0">
                  <c:v>Avg_GPA</c:v>
                </c:pt>
              </c:strCache>
            </c:strRef>
          </c:tx>
          <c:spPr>
            <a:solidFill>
              <a:schemeClr val="accent1"/>
            </a:solidFill>
            <a:ln>
              <a:noFill/>
            </a:ln>
            <a:effectLst/>
          </c:spPr>
          <c:invertIfNegative val="0"/>
          <c:cat>
            <c:strRef>
              <c:f>'Pivot Analysis'!$A$2:$A$4</c:f>
              <c:strCache>
                <c:ptCount val="3"/>
                <c:pt idx="0">
                  <c:v>High</c:v>
                </c:pt>
                <c:pt idx="1">
                  <c:v>Low</c:v>
                </c:pt>
                <c:pt idx="2">
                  <c:v>Medium</c:v>
                </c:pt>
              </c:strCache>
            </c:strRef>
          </c:cat>
          <c:val>
            <c:numRef>
              <c:f>'Pivot Analysis'!$B$2:$B$4</c:f>
              <c:numCache>
                <c:formatCode>General</c:formatCode>
                <c:ptCount val="3"/>
                <c:pt idx="0">
                  <c:v>1.33</c:v>
                </c:pt>
                <c:pt idx="1">
                  <c:v>1.18</c:v>
                </c:pt>
                <c:pt idx="2">
                  <c:v>1.19</c:v>
                </c:pt>
              </c:numCache>
            </c:numRef>
          </c:val>
          <c:extLst>
            <c:ext xmlns:c16="http://schemas.microsoft.com/office/drawing/2014/chart" uri="{C3380CC4-5D6E-409C-BE32-E72D297353CC}">
              <c16:uniqueId val="{00000000-294C-4352-A7E7-0BC7079E95EF}"/>
            </c:ext>
          </c:extLst>
        </c:ser>
        <c:dLbls>
          <c:showLegendKey val="0"/>
          <c:showVal val="0"/>
          <c:showCatName val="0"/>
          <c:showSerName val="0"/>
          <c:showPercent val="0"/>
          <c:showBubbleSize val="0"/>
        </c:dLbls>
        <c:gapWidth val="219"/>
        <c:overlap val="-27"/>
        <c:axId val="58932095"/>
        <c:axId val="58930431"/>
      </c:barChart>
      <c:catAx>
        <c:axId val="5893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30431"/>
        <c:crosses val="autoZero"/>
        <c:auto val="1"/>
        <c:lblAlgn val="ctr"/>
        <c:lblOffset val="100"/>
        <c:noMultiLvlLbl val="0"/>
      </c:catAx>
      <c:valAx>
        <c:axId val="5893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320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Pass/Fail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Analysis'!$B$25</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D0-47AA-B080-96482CC4DF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D0-47AA-B080-96482CC4DF91}"/>
              </c:ext>
            </c:extLst>
          </c:dPt>
          <c:cat>
            <c:strRef>
              <c:f>'Pivot Analysis'!$A$26:$A$27</c:f>
              <c:strCache>
                <c:ptCount val="2"/>
                <c:pt idx="0">
                  <c:v>Fail</c:v>
                </c:pt>
                <c:pt idx="1">
                  <c:v>Pass</c:v>
                </c:pt>
              </c:strCache>
            </c:strRef>
          </c:cat>
          <c:val>
            <c:numRef>
              <c:f>'Pivot Analysis'!$B$26:$B$27</c:f>
              <c:numCache>
                <c:formatCode>General</c:formatCode>
                <c:ptCount val="2"/>
                <c:pt idx="0">
                  <c:v>136</c:v>
                </c:pt>
                <c:pt idx="1">
                  <c:v>4</c:v>
                </c:pt>
              </c:numCache>
            </c:numRef>
          </c:val>
          <c:extLst>
            <c:ext xmlns:c16="http://schemas.microsoft.com/office/drawing/2014/chart" uri="{C3380CC4-5D6E-409C-BE32-E72D297353CC}">
              <c16:uniqueId val="{00000004-FCD0-47AA-B080-96482CC4DF91}"/>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GPA by Study Hours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Analysis'!$B$9</c:f>
              <c:strCache>
                <c:ptCount val="1"/>
                <c:pt idx="0">
                  <c:v>Avg_GPA</c:v>
                </c:pt>
              </c:strCache>
            </c:strRef>
          </c:tx>
          <c:spPr>
            <a:solidFill>
              <a:schemeClr val="accent1"/>
            </a:solidFill>
            <a:ln>
              <a:noFill/>
            </a:ln>
            <a:effectLst/>
          </c:spPr>
          <c:invertIfNegative val="0"/>
          <c:cat>
            <c:strRef>
              <c:f>'Pivot Analysis'!$A$10:$A$14</c:f>
              <c:strCache>
                <c:ptCount val="5"/>
                <c:pt idx="0">
                  <c:v>0-5</c:v>
                </c:pt>
                <c:pt idx="1">
                  <c:v>6-10</c:v>
                </c:pt>
                <c:pt idx="2">
                  <c:v>11-15</c:v>
                </c:pt>
                <c:pt idx="3">
                  <c:v>16-20</c:v>
                </c:pt>
                <c:pt idx="4">
                  <c:v>21+</c:v>
                </c:pt>
              </c:strCache>
            </c:strRef>
          </c:cat>
          <c:val>
            <c:numRef>
              <c:f>'Pivot Analysis'!$B$10:$B$14</c:f>
              <c:numCache>
                <c:formatCode>General</c:formatCode>
                <c:ptCount val="5"/>
                <c:pt idx="0">
                  <c:v>1.2</c:v>
                </c:pt>
                <c:pt idx="1">
                  <c:v>1.01</c:v>
                </c:pt>
                <c:pt idx="2">
                  <c:v>1.1299999999999999</c:v>
                </c:pt>
                <c:pt idx="3">
                  <c:v>1.28</c:v>
                </c:pt>
                <c:pt idx="4">
                  <c:v>1.4</c:v>
                </c:pt>
              </c:numCache>
            </c:numRef>
          </c:val>
          <c:extLst>
            <c:ext xmlns:c16="http://schemas.microsoft.com/office/drawing/2014/chart" uri="{C3380CC4-5D6E-409C-BE32-E72D297353CC}">
              <c16:uniqueId val="{00000000-E1CC-454C-B9FC-EFA8EC3DC1B2}"/>
            </c:ext>
          </c:extLst>
        </c:ser>
        <c:dLbls>
          <c:showLegendKey val="0"/>
          <c:showVal val="0"/>
          <c:showCatName val="0"/>
          <c:showSerName val="0"/>
          <c:showPercent val="0"/>
          <c:showBubbleSize val="0"/>
        </c:dLbls>
        <c:gapWidth val="182"/>
        <c:axId val="1097399759"/>
        <c:axId val="1097403919"/>
      </c:barChart>
      <c:catAx>
        <c:axId val="109739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03919"/>
        <c:crosses val="autoZero"/>
        <c:auto val="1"/>
        <c:lblAlgn val="ctr"/>
        <c:lblOffset val="100"/>
        <c:noMultiLvlLbl val="0"/>
      </c:catAx>
      <c:valAx>
        <c:axId val="1097403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3997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5</xdr:col>
      <xdr:colOff>777240</xdr:colOff>
      <xdr:row>92</xdr:row>
      <xdr:rowOff>144780</xdr:rowOff>
    </xdr:from>
    <xdr:to>
      <xdr:col>6</xdr:col>
      <xdr:colOff>822960</xdr:colOff>
      <xdr:row>150</xdr:row>
      <xdr:rowOff>51435</xdr:rowOff>
    </xdr:to>
    <mc:AlternateContent xmlns:mc="http://schemas.openxmlformats.org/markup-compatibility/2006" xmlns:sle15="http://schemas.microsoft.com/office/drawing/2012/slicer">
      <mc:Choice Requires="sle15">
        <xdr:graphicFrame macro="">
          <xdr:nvGraphicFramePr>
            <xdr:cNvPr id="7"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057900" y="1424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1257300</xdr:colOff>
      <xdr:row>132</xdr:row>
      <xdr:rowOff>76200</xdr:rowOff>
    </xdr:from>
    <xdr:to>
      <xdr:col>6</xdr:col>
      <xdr:colOff>1303020</xdr:colOff>
      <xdr:row>152</xdr:row>
      <xdr:rowOff>165735</xdr:rowOff>
    </xdr:to>
    <mc:AlternateContent xmlns:mc="http://schemas.openxmlformats.org/markup-compatibility/2006" xmlns:sle15="http://schemas.microsoft.com/office/drawing/2012/slicer">
      <mc:Choice Requires="sle15">
        <xdr:graphicFrame macro="">
          <xdr:nvGraphicFramePr>
            <xdr:cNvPr id="8" name="Participation_Level 1"/>
            <xdr:cNvGraphicFramePr/>
          </xdr:nvGraphicFramePr>
          <xdr:xfrm>
            <a:off x="0" y="0"/>
            <a:ext cx="0" cy="0"/>
          </xdr:xfrm>
          <a:graphic>
            <a:graphicData uri="http://schemas.microsoft.com/office/drawing/2010/slicer">
              <sle:slicer xmlns:sle="http://schemas.microsoft.com/office/drawing/2010/slicer" name="Participation_Level 1"/>
            </a:graphicData>
          </a:graphic>
        </xdr:graphicFrame>
      </mc:Choice>
      <mc:Fallback xmlns="">
        <xdr:sp macro="" textlink="">
          <xdr:nvSpPr>
            <xdr:cNvPr id="0" name=""/>
            <xdr:cNvSpPr>
              <a:spLocks noTextEdit="1"/>
            </xdr:cNvSpPr>
          </xdr:nvSpPr>
          <xdr:spPr>
            <a:xfrm>
              <a:off x="6537960" y="1905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121920</xdr:colOff>
      <xdr:row>0</xdr:row>
      <xdr:rowOff>121920</xdr:rowOff>
    </xdr:from>
    <xdr:to>
      <xdr:col>9</xdr:col>
      <xdr:colOff>495300</xdr:colOff>
      <xdr:row>15</xdr:row>
      <xdr:rowOff>106680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579120</xdr:colOff>
      <xdr:row>0</xdr:row>
      <xdr:rowOff>144780</xdr:rowOff>
    </xdr:from>
    <xdr:to>
      <xdr:col>14</xdr:col>
      <xdr:colOff>350520</xdr:colOff>
      <xdr:row>15</xdr:row>
      <xdr:rowOff>129540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182880</xdr:colOff>
      <xdr:row>15</xdr:row>
      <xdr:rowOff>152400</xdr:rowOff>
    </xdr:from>
    <xdr:to>
      <xdr:col>12</xdr:col>
      <xdr:colOff>243840</xdr:colOff>
      <xdr:row>28</xdr:row>
      <xdr:rowOff>83820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2072640</xdr:colOff>
      <xdr:row>14</xdr:row>
      <xdr:rowOff>144781</xdr:rowOff>
    </xdr:from>
    <xdr:to>
      <xdr:col>3</xdr:col>
      <xdr:colOff>220980</xdr:colOff>
      <xdr:row>18</xdr:row>
      <xdr:rowOff>121921</xdr:rowOff>
    </xdr:to>
    <mc:AlternateContent xmlns:mc="http://schemas.openxmlformats.org/markup-compatibility/2006" xmlns:sle15="http://schemas.microsoft.com/office/drawing/2012/slicer">
      <mc:Choice Requires="sle15">
        <xdr:graphicFrame macro="">
          <xdr:nvGraphicFramePr>
            <xdr:cNvPr id="8" name="Study_Hours_Group"/>
            <xdr:cNvGraphicFramePr/>
          </xdr:nvGraphicFramePr>
          <xdr:xfrm>
            <a:off x="0" y="0"/>
            <a:ext cx="0" cy="0"/>
          </xdr:xfrm>
          <a:graphic>
            <a:graphicData uri="http://schemas.microsoft.com/office/drawing/2010/slicer">
              <sle:slicer xmlns:sle="http://schemas.microsoft.com/office/drawing/2010/slicer" name="Study_Hours_Group"/>
            </a:graphicData>
          </a:graphic>
        </xdr:graphicFrame>
      </mc:Choice>
      <mc:Fallback xmlns="">
        <xdr:sp macro="" textlink="">
          <xdr:nvSpPr>
            <xdr:cNvPr id="0" name=""/>
            <xdr:cNvSpPr>
              <a:spLocks noTextEdit="1"/>
            </xdr:cNvSpPr>
          </xdr:nvSpPr>
          <xdr:spPr>
            <a:xfrm>
              <a:off x="2072640" y="2720341"/>
              <a:ext cx="2209800" cy="7086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2209800</xdr:colOff>
      <xdr:row>19</xdr:row>
      <xdr:rowOff>68581</xdr:rowOff>
    </xdr:from>
    <xdr:to>
      <xdr:col>3</xdr:col>
      <xdr:colOff>312420</xdr:colOff>
      <xdr:row>24</xdr:row>
      <xdr:rowOff>7621</xdr:rowOff>
    </xdr:to>
    <mc:AlternateContent xmlns:mc="http://schemas.openxmlformats.org/markup-compatibility/2006" xmlns:sle15="http://schemas.microsoft.com/office/drawing/2012/slicer">
      <mc:Choice Requires="sle15">
        <xdr:graphicFrame macro="">
          <xdr:nvGraphicFramePr>
            <xdr:cNvPr id="9" name="Semeste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mlns="">
        <xdr:sp macro="" textlink="">
          <xdr:nvSpPr>
            <xdr:cNvPr id="0" name=""/>
            <xdr:cNvSpPr>
              <a:spLocks noTextEdit="1"/>
            </xdr:cNvSpPr>
          </xdr:nvSpPr>
          <xdr:spPr>
            <a:xfrm>
              <a:off x="2209800" y="3558541"/>
              <a:ext cx="2164080" cy="8534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24</xdr:col>
      <xdr:colOff>274320</xdr:colOff>
      <xdr:row>16</xdr:row>
      <xdr:rowOff>83820</xdr:rowOff>
    </xdr:from>
    <xdr:to>
      <xdr:col>27</xdr:col>
      <xdr:colOff>274320</xdr:colOff>
      <xdr:row>29</xdr:row>
      <xdr:rowOff>173355</xdr:rowOff>
    </xdr:to>
    <mc:AlternateContent xmlns:mc="http://schemas.openxmlformats.org/markup-compatibility/2006" xmlns:sle15="http://schemas.microsoft.com/office/drawing/2012/slicer">
      <mc:Choice Requires="sle15">
        <xdr:graphicFrame macro="">
          <xdr:nvGraphicFramePr>
            <xdr:cNvPr id="10" name="Participation_Level"/>
            <xdr:cNvGraphicFramePr/>
          </xdr:nvGraphicFramePr>
          <xdr:xfrm>
            <a:off x="0" y="0"/>
            <a:ext cx="0" cy="0"/>
          </xdr:xfrm>
          <a:graphic>
            <a:graphicData uri="http://schemas.microsoft.com/office/drawing/2010/slicer">
              <sle:slicer xmlns:sle="http://schemas.microsoft.com/office/drawing/2010/slicer" name="Participation_Level"/>
            </a:graphicData>
          </a:graphic>
        </xdr:graphicFrame>
      </mc:Choice>
      <mc:Fallback xmlns="">
        <xdr:sp macro="" textlink="">
          <xdr:nvSpPr>
            <xdr:cNvPr id="0" name=""/>
            <xdr:cNvSpPr>
              <a:spLocks noTextEdit="1"/>
            </xdr:cNvSpPr>
          </xdr:nvSpPr>
          <xdr:spPr>
            <a:xfrm>
              <a:off x="18935700" y="3025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24</xdr:col>
      <xdr:colOff>335280</xdr:colOff>
      <xdr:row>25</xdr:row>
      <xdr:rowOff>106680</xdr:rowOff>
    </xdr:from>
    <xdr:to>
      <xdr:col>27</xdr:col>
      <xdr:colOff>335280</xdr:colOff>
      <xdr:row>39</xdr:row>
      <xdr:rowOff>13335</xdr:rowOff>
    </xdr:to>
    <mc:AlternateContent xmlns:mc="http://schemas.openxmlformats.org/markup-compatibility/2006" xmlns:sle15="http://schemas.microsoft.com/office/drawing/2012/slicer">
      <mc:Choice Requires="sle15">
        <xdr:graphicFrame macro="">
          <xdr:nvGraphicFramePr>
            <xdr:cNvPr id="11"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996660" y="4693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lean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Data"/>
      <sheetName val="Data Overview"/>
      <sheetName val="Sheet2"/>
      <sheetName val="Clean Data"/>
      <sheetName val="Analysis"/>
      <sheetName val="Pivot Analysis"/>
      <sheetName val="Reflection"/>
      <sheetName val="Dashboard"/>
      <sheetName val="Sheet1"/>
    </sheetNames>
    <sheetDataSet>
      <sheetData sheetId="0"/>
      <sheetData sheetId="1"/>
      <sheetData sheetId="2"/>
      <sheetData sheetId="3">
        <row r="2">
          <cell r="A2">
            <v>1001</v>
          </cell>
        </row>
        <row r="3">
          <cell r="A3">
            <v>1002</v>
          </cell>
        </row>
        <row r="4">
          <cell r="A4">
            <v>1003</v>
          </cell>
        </row>
        <row r="5">
          <cell r="A5">
            <v>1004</v>
          </cell>
        </row>
        <row r="6">
          <cell r="A6">
            <v>1005</v>
          </cell>
        </row>
        <row r="7">
          <cell r="A7">
            <v>1006</v>
          </cell>
        </row>
        <row r="8">
          <cell r="A8">
            <v>1007</v>
          </cell>
        </row>
        <row r="9">
          <cell r="A9">
            <v>1008</v>
          </cell>
        </row>
        <row r="10">
          <cell r="A10">
            <v>1009</v>
          </cell>
        </row>
        <row r="11">
          <cell r="A11">
            <v>1010</v>
          </cell>
        </row>
        <row r="12">
          <cell r="A12">
            <v>1011</v>
          </cell>
        </row>
        <row r="13">
          <cell r="A13">
            <v>1012</v>
          </cell>
        </row>
        <row r="14">
          <cell r="A14">
            <v>1013</v>
          </cell>
        </row>
        <row r="15">
          <cell r="A15">
            <v>1014</v>
          </cell>
        </row>
        <row r="16">
          <cell r="A16">
            <v>1015</v>
          </cell>
        </row>
        <row r="17">
          <cell r="A17">
            <v>1016</v>
          </cell>
        </row>
        <row r="18">
          <cell r="A18">
            <v>1017</v>
          </cell>
        </row>
        <row r="19">
          <cell r="A19">
            <v>1018</v>
          </cell>
        </row>
        <row r="20">
          <cell r="A20">
            <v>1019</v>
          </cell>
        </row>
        <row r="21">
          <cell r="A21">
            <v>1020</v>
          </cell>
        </row>
        <row r="22">
          <cell r="A22">
            <v>1021</v>
          </cell>
        </row>
        <row r="23">
          <cell r="A23">
            <v>1022</v>
          </cell>
        </row>
        <row r="24">
          <cell r="A24">
            <v>1023</v>
          </cell>
        </row>
        <row r="25">
          <cell r="A25">
            <v>1024</v>
          </cell>
        </row>
        <row r="26">
          <cell r="A26">
            <v>1025</v>
          </cell>
        </row>
        <row r="27">
          <cell r="A27">
            <v>1026</v>
          </cell>
        </row>
        <row r="28">
          <cell r="A28">
            <v>1027</v>
          </cell>
        </row>
        <row r="29">
          <cell r="A29">
            <v>1028</v>
          </cell>
        </row>
        <row r="30">
          <cell r="A30">
            <v>1029</v>
          </cell>
        </row>
        <row r="31">
          <cell r="A31">
            <v>1030</v>
          </cell>
        </row>
        <row r="32">
          <cell r="A32">
            <v>1031</v>
          </cell>
        </row>
        <row r="33">
          <cell r="A33">
            <v>1032</v>
          </cell>
        </row>
        <row r="34">
          <cell r="A34">
            <v>1033</v>
          </cell>
        </row>
        <row r="35">
          <cell r="A35">
            <v>1034</v>
          </cell>
        </row>
        <row r="36">
          <cell r="A36">
            <v>1035</v>
          </cell>
        </row>
        <row r="37">
          <cell r="A37">
            <v>1036</v>
          </cell>
        </row>
        <row r="38">
          <cell r="A38">
            <v>1037</v>
          </cell>
        </row>
        <row r="39">
          <cell r="A39">
            <v>1038</v>
          </cell>
        </row>
        <row r="40">
          <cell r="A40">
            <v>1039</v>
          </cell>
        </row>
        <row r="41">
          <cell r="A41">
            <v>1040</v>
          </cell>
        </row>
        <row r="42">
          <cell r="A42">
            <v>1041</v>
          </cell>
        </row>
        <row r="43">
          <cell r="A43">
            <v>1042</v>
          </cell>
        </row>
        <row r="44">
          <cell r="A44">
            <v>1043</v>
          </cell>
        </row>
        <row r="45">
          <cell r="A45">
            <v>1044</v>
          </cell>
        </row>
        <row r="46">
          <cell r="A46">
            <v>1045</v>
          </cell>
        </row>
        <row r="47">
          <cell r="A47">
            <v>1046</v>
          </cell>
        </row>
        <row r="48">
          <cell r="A48">
            <v>1047</v>
          </cell>
        </row>
        <row r="49">
          <cell r="A49">
            <v>1048</v>
          </cell>
        </row>
        <row r="50">
          <cell r="A50">
            <v>1049</v>
          </cell>
        </row>
        <row r="51">
          <cell r="A51">
            <v>1050</v>
          </cell>
        </row>
        <row r="52">
          <cell r="A52">
            <v>1051</v>
          </cell>
        </row>
        <row r="53">
          <cell r="A53">
            <v>1052</v>
          </cell>
        </row>
        <row r="54">
          <cell r="A54">
            <v>1053</v>
          </cell>
        </row>
        <row r="55">
          <cell r="A55">
            <v>1054</v>
          </cell>
        </row>
        <row r="56">
          <cell r="A56">
            <v>1055</v>
          </cell>
        </row>
        <row r="57">
          <cell r="A57">
            <v>1056</v>
          </cell>
        </row>
        <row r="58">
          <cell r="A58">
            <v>1057</v>
          </cell>
        </row>
        <row r="59">
          <cell r="A59">
            <v>1058</v>
          </cell>
        </row>
        <row r="60">
          <cell r="A60">
            <v>1059</v>
          </cell>
        </row>
        <row r="61">
          <cell r="A61">
            <v>1060</v>
          </cell>
        </row>
        <row r="62">
          <cell r="A62">
            <v>1061</v>
          </cell>
        </row>
        <row r="63">
          <cell r="A63">
            <v>1062</v>
          </cell>
        </row>
        <row r="64">
          <cell r="A64">
            <v>1063</v>
          </cell>
        </row>
        <row r="65">
          <cell r="A65">
            <v>1064</v>
          </cell>
        </row>
        <row r="66">
          <cell r="A66">
            <v>1065</v>
          </cell>
        </row>
        <row r="67">
          <cell r="A67">
            <v>1066</v>
          </cell>
        </row>
        <row r="68">
          <cell r="A68">
            <v>1067</v>
          </cell>
        </row>
        <row r="69">
          <cell r="A69">
            <v>1068</v>
          </cell>
        </row>
        <row r="70">
          <cell r="A70">
            <v>1069</v>
          </cell>
        </row>
        <row r="71">
          <cell r="A71">
            <v>1070</v>
          </cell>
        </row>
        <row r="72">
          <cell r="A72">
            <v>1071</v>
          </cell>
        </row>
        <row r="73">
          <cell r="A73">
            <v>1072</v>
          </cell>
        </row>
        <row r="74">
          <cell r="A74">
            <v>1073</v>
          </cell>
        </row>
        <row r="75">
          <cell r="A75">
            <v>1074</v>
          </cell>
        </row>
        <row r="76">
          <cell r="A76">
            <v>1075</v>
          </cell>
        </row>
        <row r="77">
          <cell r="A77">
            <v>1076</v>
          </cell>
        </row>
        <row r="78">
          <cell r="A78">
            <v>1077</v>
          </cell>
        </row>
        <row r="79">
          <cell r="A79">
            <v>1078</v>
          </cell>
        </row>
        <row r="80">
          <cell r="A80">
            <v>1079</v>
          </cell>
        </row>
        <row r="81">
          <cell r="A81">
            <v>1080</v>
          </cell>
        </row>
        <row r="82">
          <cell r="A82">
            <v>1081</v>
          </cell>
        </row>
        <row r="83">
          <cell r="A83">
            <v>1082</v>
          </cell>
        </row>
        <row r="84">
          <cell r="A84">
            <v>1083</v>
          </cell>
        </row>
        <row r="85">
          <cell r="A85">
            <v>1084</v>
          </cell>
        </row>
        <row r="86">
          <cell r="A86">
            <v>1085</v>
          </cell>
        </row>
        <row r="87">
          <cell r="A87">
            <v>1086</v>
          </cell>
        </row>
        <row r="88">
          <cell r="A88">
            <v>1087</v>
          </cell>
        </row>
        <row r="89">
          <cell r="A89">
            <v>1088</v>
          </cell>
        </row>
        <row r="90">
          <cell r="A90">
            <v>1089</v>
          </cell>
        </row>
        <row r="91">
          <cell r="A91">
            <v>1090</v>
          </cell>
        </row>
        <row r="92">
          <cell r="A92">
            <v>1091</v>
          </cell>
        </row>
        <row r="93">
          <cell r="A93">
            <v>1092</v>
          </cell>
        </row>
        <row r="94">
          <cell r="A94">
            <v>1093</v>
          </cell>
        </row>
        <row r="95">
          <cell r="A95">
            <v>1094</v>
          </cell>
        </row>
        <row r="96">
          <cell r="A96">
            <v>1095</v>
          </cell>
        </row>
        <row r="97">
          <cell r="A97">
            <v>1096</v>
          </cell>
        </row>
        <row r="98">
          <cell r="A98">
            <v>1097</v>
          </cell>
        </row>
        <row r="99">
          <cell r="A99">
            <v>1098</v>
          </cell>
        </row>
        <row r="100">
          <cell r="A100">
            <v>1099</v>
          </cell>
        </row>
        <row r="101">
          <cell r="A101">
            <v>1100</v>
          </cell>
        </row>
        <row r="102">
          <cell r="A102">
            <v>1101</v>
          </cell>
        </row>
        <row r="103">
          <cell r="A103">
            <v>1102</v>
          </cell>
        </row>
        <row r="104">
          <cell r="A104">
            <v>1103</v>
          </cell>
        </row>
        <row r="105">
          <cell r="A105">
            <v>1104</v>
          </cell>
        </row>
        <row r="106">
          <cell r="A106">
            <v>1105</v>
          </cell>
        </row>
        <row r="107">
          <cell r="A107">
            <v>1106</v>
          </cell>
        </row>
        <row r="108">
          <cell r="A108">
            <v>1107</v>
          </cell>
        </row>
        <row r="109">
          <cell r="A109">
            <v>1108</v>
          </cell>
        </row>
        <row r="110">
          <cell r="A110">
            <v>1109</v>
          </cell>
        </row>
        <row r="111">
          <cell r="A111">
            <v>1110</v>
          </cell>
        </row>
        <row r="112">
          <cell r="A112">
            <v>1111</v>
          </cell>
        </row>
        <row r="113">
          <cell r="A113">
            <v>1112</v>
          </cell>
        </row>
        <row r="114">
          <cell r="A114">
            <v>1113</v>
          </cell>
        </row>
        <row r="115">
          <cell r="A115">
            <v>1114</v>
          </cell>
        </row>
        <row r="116">
          <cell r="A116">
            <v>1115</v>
          </cell>
        </row>
        <row r="117">
          <cell r="A117">
            <v>1116</v>
          </cell>
        </row>
        <row r="118">
          <cell r="A118">
            <v>1117</v>
          </cell>
        </row>
        <row r="119">
          <cell r="A119">
            <v>1118</v>
          </cell>
        </row>
        <row r="120">
          <cell r="A120">
            <v>1119</v>
          </cell>
        </row>
        <row r="121">
          <cell r="A121">
            <v>1120</v>
          </cell>
        </row>
        <row r="122">
          <cell r="A122">
            <v>1121</v>
          </cell>
        </row>
        <row r="123">
          <cell r="A123">
            <v>1122</v>
          </cell>
        </row>
        <row r="124">
          <cell r="A124">
            <v>1123</v>
          </cell>
        </row>
        <row r="125">
          <cell r="A125">
            <v>1124</v>
          </cell>
        </row>
        <row r="126">
          <cell r="A126">
            <v>1125</v>
          </cell>
        </row>
        <row r="127">
          <cell r="A127">
            <v>1126</v>
          </cell>
        </row>
        <row r="128">
          <cell r="A128">
            <v>1127</v>
          </cell>
        </row>
        <row r="129">
          <cell r="A129">
            <v>1128</v>
          </cell>
        </row>
        <row r="130">
          <cell r="A130">
            <v>1129</v>
          </cell>
        </row>
        <row r="131">
          <cell r="A131">
            <v>1130</v>
          </cell>
        </row>
        <row r="132">
          <cell r="A132">
            <v>1131</v>
          </cell>
        </row>
        <row r="133">
          <cell r="A133">
            <v>1132</v>
          </cell>
        </row>
        <row r="134">
          <cell r="A134">
            <v>1133</v>
          </cell>
        </row>
        <row r="135">
          <cell r="A135">
            <v>1134</v>
          </cell>
        </row>
        <row r="136">
          <cell r="A136">
            <v>1135</v>
          </cell>
        </row>
        <row r="137">
          <cell r="A137">
            <v>1136</v>
          </cell>
        </row>
        <row r="138">
          <cell r="A138">
            <v>1137</v>
          </cell>
        </row>
        <row r="139">
          <cell r="A139">
            <v>1138</v>
          </cell>
        </row>
        <row r="140">
          <cell r="A140">
            <v>1139</v>
          </cell>
        </row>
        <row r="141">
          <cell r="A141">
            <v>1140</v>
          </cell>
        </row>
      </sheetData>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961.747570023152" createdVersion="6" refreshedVersion="6" minRefreshableVersion="3" recordCount="140">
  <cacheSource type="external" connectionId="1"/>
  <cacheFields count="16">
    <cacheField name="Student_ID" numFmtId="0">
      <sharedItems containsSemiMixedTypes="0" containsString="0" containsNumber="1" containsInteger="1" minValue="1001" maxValue="1140"/>
    </cacheField>
    <cacheField name="Gender" numFmtId="0">
      <sharedItems count="2">
        <s v="Male"/>
        <s v="Female"/>
      </sharedItems>
    </cacheField>
    <cacheField name="Age" numFmtId="0">
      <sharedItems containsSemiMixedTypes="0" containsString="0" containsNumber="1" containsInteger="1" minValue="18" maxValue="24" count="7">
        <n v="20"/>
        <n v="22"/>
        <n v="19"/>
        <n v="23"/>
        <n v="24"/>
        <n v="18"/>
        <n v="21"/>
      </sharedItems>
    </cacheField>
    <cacheField name="Major" numFmtId="0">
      <sharedItems count="1">
        <s v="Computer Science"/>
      </sharedItems>
    </cacheField>
    <cacheField name="Study_Hours_per_Week" numFmtId="0">
      <sharedItems containsSemiMixedTypes="0" containsString="0" containsNumber="1" containsInteger="1" minValue="18" maxValue="18" count="1">
        <n v="18"/>
      </sharedItems>
    </cacheField>
    <cacheField name="Attendance_Percentage" numFmtId="0">
      <sharedItems containsSemiMixedTypes="0" containsString="0" containsNumber="1" minValue="86.9" maxValue="86.9" count="1">
        <n v="86.9"/>
      </sharedItems>
    </cacheField>
    <cacheField name="Assignments_Completed" numFmtId="0">
      <sharedItems containsSemiMixedTypes="0" containsString="0" containsNumber="1" containsInteger="1" minValue="3" maxValue="10" count="8">
        <n v="6"/>
        <n v="7"/>
        <n v="10"/>
        <n v="8"/>
        <n v="4"/>
        <n v="3"/>
        <n v="9"/>
        <n v="5"/>
      </sharedItems>
    </cacheField>
    <cacheField name="GPA" numFmtId="0">
      <sharedItems containsSemiMixedTypes="0" containsString="0" containsNumber="1" minValue="0.26" maxValue="2.21"/>
    </cacheField>
    <cacheField name="Participation_Level" numFmtId="0">
      <sharedItems count="3">
        <s v="Medium"/>
        <s v="Low"/>
        <s v="High"/>
      </sharedItems>
    </cacheField>
    <cacheField name="Stress_Level" numFmtId="0">
      <sharedItems containsSemiMixedTypes="0" containsString="0" containsNumber="1" containsInteger="1" minValue="1" maxValue="10" count="10">
        <n v="3"/>
        <n v="10"/>
        <n v="8"/>
        <n v="4"/>
        <n v="6"/>
        <n v="7"/>
        <n v="5"/>
        <n v="2"/>
        <n v="1"/>
        <n v="9"/>
      </sharedItems>
    </cacheField>
    <cacheField name="Sleep_Hours" numFmtId="0">
      <sharedItems containsSemiMixedTypes="0" containsString="0" containsNumber="1" minValue="4.5" maxValue="9"/>
    </cacheField>
    <cacheField name="Semester" numFmtId="0">
      <sharedItems count="2">
        <s v="Spring 2024"/>
        <s v="Fall 2024"/>
      </sharedItems>
    </cacheField>
    <cacheField name="Study_Hours_Group" numFmtId="0">
      <sharedItems count="1">
        <s v="16-20"/>
      </sharedItems>
    </cacheField>
    <cacheField name="Pass_Fail" numFmtId="0">
      <sharedItems count="2">
        <s v="Fail"/>
        <s v="Pass"/>
      </sharedItems>
    </cacheField>
    <cacheField name="Score_Index" numFmtId="0">
      <sharedItems containsSemiMixedTypes="0" containsString="0" containsNumber="1" minValue="0.38100000000000001" maxValue="1.641"/>
    </cacheField>
    <cacheField name="Performance_Category" numFmtId="0">
      <sharedItems count="4">
        <s v="Average"/>
        <s v="Below Average"/>
        <s v="Good"/>
        <s v="Excellen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0">
  <r>
    <n v="1001"/>
    <x v="0"/>
    <x v="0"/>
    <x v="0"/>
    <x v="0"/>
    <x v="0"/>
    <x v="0"/>
    <n v="1.05"/>
    <x v="0"/>
    <x v="0"/>
    <n v="5.9"/>
    <x v="0"/>
    <x v="0"/>
    <x v="0"/>
    <n v="0.89400000000000002"/>
    <x v="0"/>
  </r>
  <r>
    <n v="1002"/>
    <x v="1"/>
    <x v="1"/>
    <x v="0"/>
    <x v="0"/>
    <x v="0"/>
    <x v="1"/>
    <n v="1.1399999999999999"/>
    <x v="1"/>
    <x v="1"/>
    <n v="6.9"/>
    <x v="1"/>
    <x v="0"/>
    <x v="0"/>
    <n v="0.86299999999999999"/>
    <x v="0"/>
  </r>
  <r>
    <n v="1003"/>
    <x v="0"/>
    <x v="2"/>
    <x v="0"/>
    <x v="0"/>
    <x v="0"/>
    <x v="0"/>
    <n v="0.98"/>
    <x v="0"/>
    <x v="2"/>
    <n v="6.5"/>
    <x v="0"/>
    <x v="0"/>
    <x v="0"/>
    <n v="0.83599999999999997"/>
    <x v="1"/>
  </r>
  <r>
    <n v="1004"/>
    <x v="1"/>
    <x v="3"/>
    <x v="0"/>
    <x v="0"/>
    <x v="0"/>
    <x v="2"/>
    <n v="0.76"/>
    <x v="0"/>
    <x v="3"/>
    <n v="6.2"/>
    <x v="0"/>
    <x v="0"/>
    <x v="0"/>
    <n v="0.69"/>
    <x v="1"/>
  </r>
  <r>
    <n v="1005"/>
    <x v="0"/>
    <x v="4"/>
    <x v="0"/>
    <x v="0"/>
    <x v="0"/>
    <x v="3"/>
    <n v="1.1200000000000001"/>
    <x v="1"/>
    <x v="4"/>
    <n v="7.4"/>
    <x v="0"/>
    <x v="0"/>
    <x v="0"/>
    <n v="0.86599999999999999"/>
    <x v="0"/>
  </r>
  <r>
    <n v="1006"/>
    <x v="0"/>
    <x v="2"/>
    <x v="0"/>
    <x v="0"/>
    <x v="0"/>
    <x v="0"/>
    <n v="1.08"/>
    <x v="0"/>
    <x v="4"/>
    <n v="7.9"/>
    <x v="1"/>
    <x v="0"/>
    <x v="0"/>
    <n v="0.92100000000000004"/>
    <x v="0"/>
  </r>
  <r>
    <n v="1007"/>
    <x v="0"/>
    <x v="0"/>
    <x v="0"/>
    <x v="0"/>
    <x v="0"/>
    <x v="3"/>
    <n v="0.83"/>
    <x v="2"/>
    <x v="5"/>
    <n v="7.4"/>
    <x v="1"/>
    <x v="0"/>
    <x v="0"/>
    <n v="0.76500000000000001"/>
    <x v="1"/>
  </r>
  <r>
    <n v="1008"/>
    <x v="1"/>
    <x v="1"/>
    <x v="0"/>
    <x v="0"/>
    <x v="0"/>
    <x v="1"/>
    <n v="0.69"/>
    <x v="1"/>
    <x v="6"/>
    <n v="6.8"/>
    <x v="1"/>
    <x v="0"/>
    <x v="0"/>
    <n v="0.65600000000000003"/>
    <x v="1"/>
  </r>
  <r>
    <n v="1009"/>
    <x v="0"/>
    <x v="3"/>
    <x v="0"/>
    <x v="0"/>
    <x v="0"/>
    <x v="1"/>
    <n v="0.56000000000000005"/>
    <x v="0"/>
    <x v="6"/>
    <n v="6.1"/>
    <x v="1"/>
    <x v="0"/>
    <x v="0"/>
    <n v="0.63"/>
    <x v="1"/>
  </r>
  <r>
    <n v="1010"/>
    <x v="1"/>
    <x v="5"/>
    <x v="0"/>
    <x v="0"/>
    <x v="0"/>
    <x v="2"/>
    <n v="1.1299999999999999"/>
    <x v="0"/>
    <x v="6"/>
    <n v="9"/>
    <x v="1"/>
    <x v="0"/>
    <x v="0"/>
    <n v="0.92600000000000005"/>
    <x v="0"/>
  </r>
  <r>
    <n v="1011"/>
    <x v="1"/>
    <x v="6"/>
    <x v="0"/>
    <x v="0"/>
    <x v="0"/>
    <x v="2"/>
    <n v="0.92"/>
    <x v="0"/>
    <x v="6"/>
    <n v="6"/>
    <x v="1"/>
    <x v="0"/>
    <x v="0"/>
    <n v="0.80300000000000005"/>
    <x v="1"/>
  </r>
  <r>
    <n v="1012"/>
    <x v="0"/>
    <x v="3"/>
    <x v="0"/>
    <x v="0"/>
    <x v="0"/>
    <x v="4"/>
    <n v="1.68"/>
    <x v="0"/>
    <x v="0"/>
    <n v="8"/>
    <x v="0"/>
    <x v="0"/>
    <x v="0"/>
    <n v="1.3129999999999999"/>
    <x v="2"/>
  </r>
  <r>
    <n v="1013"/>
    <x v="0"/>
    <x v="3"/>
    <x v="0"/>
    <x v="0"/>
    <x v="0"/>
    <x v="2"/>
    <n v="1.44"/>
    <x v="0"/>
    <x v="0"/>
    <n v="7.1"/>
    <x v="1"/>
    <x v="0"/>
    <x v="0"/>
    <n v="1.085"/>
    <x v="2"/>
  </r>
  <r>
    <n v="1014"/>
    <x v="1"/>
    <x v="3"/>
    <x v="0"/>
    <x v="0"/>
    <x v="0"/>
    <x v="5"/>
    <n v="1.59"/>
    <x v="0"/>
    <x v="6"/>
    <n v="5.3"/>
    <x v="0"/>
    <x v="0"/>
    <x v="0"/>
    <n v="1.244"/>
    <x v="2"/>
  </r>
  <r>
    <n v="1015"/>
    <x v="1"/>
    <x v="4"/>
    <x v="0"/>
    <x v="0"/>
    <x v="0"/>
    <x v="6"/>
    <n v="1"/>
    <x v="1"/>
    <x v="0"/>
    <n v="7.4"/>
    <x v="0"/>
    <x v="0"/>
    <x v="0"/>
    <n v="0.90200000000000002"/>
    <x v="0"/>
  </r>
  <r>
    <n v="1016"/>
    <x v="0"/>
    <x v="5"/>
    <x v="0"/>
    <x v="0"/>
    <x v="0"/>
    <x v="0"/>
    <n v="1.42"/>
    <x v="0"/>
    <x v="7"/>
    <n v="7"/>
    <x v="1"/>
    <x v="0"/>
    <x v="0"/>
    <n v="1.117"/>
    <x v="2"/>
  </r>
  <r>
    <n v="1017"/>
    <x v="1"/>
    <x v="3"/>
    <x v="0"/>
    <x v="0"/>
    <x v="0"/>
    <x v="6"/>
    <n v="1.28"/>
    <x v="0"/>
    <x v="7"/>
    <n v="6.7"/>
    <x v="1"/>
    <x v="0"/>
    <x v="0"/>
    <n v="1.0249999999999999"/>
    <x v="0"/>
  </r>
  <r>
    <n v="1018"/>
    <x v="1"/>
    <x v="1"/>
    <x v="0"/>
    <x v="0"/>
    <x v="0"/>
    <x v="2"/>
    <n v="1.2"/>
    <x v="0"/>
    <x v="4"/>
    <n v="7.6"/>
    <x v="1"/>
    <x v="0"/>
    <x v="0"/>
    <n v="0.96699999999999997"/>
    <x v="0"/>
  </r>
  <r>
    <n v="1019"/>
    <x v="0"/>
    <x v="2"/>
    <x v="0"/>
    <x v="0"/>
    <x v="0"/>
    <x v="7"/>
    <n v="2.0499999999999998"/>
    <x v="2"/>
    <x v="8"/>
    <n v="7.2"/>
    <x v="0"/>
    <x v="0"/>
    <x v="1"/>
    <n v="1.5209999999999999"/>
    <x v="3"/>
  </r>
  <r>
    <n v="1020"/>
    <x v="0"/>
    <x v="5"/>
    <x v="0"/>
    <x v="0"/>
    <x v="0"/>
    <x v="0"/>
    <n v="1.27"/>
    <x v="2"/>
    <x v="9"/>
    <n v="8.3000000000000007"/>
    <x v="0"/>
    <x v="0"/>
    <x v="0"/>
    <n v="0.95499999999999996"/>
    <x v="0"/>
  </r>
  <r>
    <n v="1021"/>
    <x v="1"/>
    <x v="6"/>
    <x v="0"/>
    <x v="0"/>
    <x v="0"/>
    <x v="1"/>
    <n v="1.17"/>
    <x v="0"/>
    <x v="2"/>
    <n v="6.2"/>
    <x v="1"/>
    <x v="0"/>
    <x v="0"/>
    <n v="1.006"/>
    <x v="0"/>
  </r>
  <r>
    <n v="1022"/>
    <x v="1"/>
    <x v="1"/>
    <x v="0"/>
    <x v="0"/>
    <x v="0"/>
    <x v="2"/>
    <n v="0.68"/>
    <x v="0"/>
    <x v="3"/>
    <n v="8.4"/>
    <x v="0"/>
    <x v="0"/>
    <x v="0"/>
    <n v="0.65400000000000003"/>
    <x v="1"/>
  </r>
  <r>
    <n v="1023"/>
    <x v="0"/>
    <x v="1"/>
    <x v="0"/>
    <x v="0"/>
    <x v="0"/>
    <x v="0"/>
    <n v="1.54"/>
    <x v="2"/>
    <x v="7"/>
    <n v="7.7"/>
    <x v="1"/>
    <x v="0"/>
    <x v="0"/>
    <n v="1.1599999999999999"/>
    <x v="2"/>
  </r>
  <r>
    <n v="1024"/>
    <x v="0"/>
    <x v="6"/>
    <x v="0"/>
    <x v="0"/>
    <x v="0"/>
    <x v="0"/>
    <n v="1.24"/>
    <x v="1"/>
    <x v="0"/>
    <n v="8.6"/>
    <x v="1"/>
    <x v="0"/>
    <x v="0"/>
    <n v="0.97899999999999998"/>
    <x v="0"/>
  </r>
  <r>
    <n v="1025"/>
    <x v="0"/>
    <x v="5"/>
    <x v="0"/>
    <x v="0"/>
    <x v="0"/>
    <x v="0"/>
    <n v="1.35"/>
    <x v="2"/>
    <x v="0"/>
    <n v="6.3"/>
    <x v="1"/>
    <x v="0"/>
    <x v="0"/>
    <n v="1.0820000000000001"/>
    <x v="0"/>
  </r>
  <r>
    <n v="1026"/>
    <x v="1"/>
    <x v="2"/>
    <x v="0"/>
    <x v="0"/>
    <x v="0"/>
    <x v="2"/>
    <n v="1.33"/>
    <x v="1"/>
    <x v="5"/>
    <n v="5.9"/>
    <x v="0"/>
    <x v="0"/>
    <x v="0"/>
    <n v="1.0249999999999999"/>
    <x v="0"/>
  </r>
  <r>
    <n v="1027"/>
    <x v="1"/>
    <x v="5"/>
    <x v="0"/>
    <x v="0"/>
    <x v="0"/>
    <x v="2"/>
    <n v="1.32"/>
    <x v="0"/>
    <x v="3"/>
    <n v="6.6"/>
    <x v="1"/>
    <x v="0"/>
    <x v="0"/>
    <n v="1.0549999999999999"/>
    <x v="0"/>
  </r>
  <r>
    <n v="1028"/>
    <x v="1"/>
    <x v="4"/>
    <x v="0"/>
    <x v="0"/>
    <x v="0"/>
    <x v="3"/>
    <n v="1.82"/>
    <x v="2"/>
    <x v="8"/>
    <n v="8.3000000000000007"/>
    <x v="0"/>
    <x v="0"/>
    <x v="0"/>
    <n v="1.35"/>
    <x v="3"/>
  </r>
  <r>
    <n v="1029"/>
    <x v="1"/>
    <x v="5"/>
    <x v="0"/>
    <x v="0"/>
    <x v="0"/>
    <x v="7"/>
    <n v="1.07"/>
    <x v="1"/>
    <x v="6"/>
    <n v="7.1"/>
    <x v="1"/>
    <x v="0"/>
    <x v="0"/>
    <n v="0.89600000000000002"/>
    <x v="0"/>
  </r>
  <r>
    <n v="1030"/>
    <x v="1"/>
    <x v="1"/>
    <x v="0"/>
    <x v="0"/>
    <x v="0"/>
    <x v="2"/>
    <n v="1.23"/>
    <x v="2"/>
    <x v="3"/>
    <n v="6.2"/>
    <x v="0"/>
    <x v="0"/>
    <x v="0"/>
    <n v="1.032"/>
    <x v="0"/>
  </r>
  <r>
    <n v="1031"/>
    <x v="1"/>
    <x v="2"/>
    <x v="0"/>
    <x v="0"/>
    <x v="0"/>
    <x v="3"/>
    <n v="1.17"/>
    <x v="0"/>
    <x v="4"/>
    <n v="7"/>
    <x v="1"/>
    <x v="0"/>
    <x v="0"/>
    <n v="0.95"/>
    <x v="0"/>
  </r>
  <r>
    <n v="1032"/>
    <x v="1"/>
    <x v="3"/>
    <x v="0"/>
    <x v="0"/>
    <x v="0"/>
    <x v="2"/>
    <n v="1.42"/>
    <x v="0"/>
    <x v="0"/>
    <n v="5.9"/>
    <x v="1"/>
    <x v="0"/>
    <x v="0"/>
    <n v="1.127"/>
    <x v="2"/>
  </r>
  <r>
    <n v="1033"/>
    <x v="1"/>
    <x v="6"/>
    <x v="0"/>
    <x v="0"/>
    <x v="0"/>
    <x v="2"/>
    <n v="1.1000000000000001"/>
    <x v="2"/>
    <x v="5"/>
    <n v="7.2"/>
    <x v="1"/>
    <x v="0"/>
    <x v="0"/>
    <n v="0.83799999999999997"/>
    <x v="0"/>
  </r>
  <r>
    <n v="1034"/>
    <x v="0"/>
    <x v="0"/>
    <x v="0"/>
    <x v="0"/>
    <x v="0"/>
    <x v="2"/>
    <n v="1.07"/>
    <x v="1"/>
    <x v="6"/>
    <n v="6.8"/>
    <x v="0"/>
    <x v="0"/>
    <x v="0"/>
    <n v="0.88700000000000001"/>
    <x v="0"/>
  </r>
  <r>
    <n v="1035"/>
    <x v="0"/>
    <x v="3"/>
    <x v="0"/>
    <x v="0"/>
    <x v="0"/>
    <x v="2"/>
    <n v="1.48"/>
    <x v="0"/>
    <x v="0"/>
    <n v="8.1"/>
    <x v="0"/>
    <x v="0"/>
    <x v="0"/>
    <n v="1.1890000000000001"/>
    <x v="2"/>
  </r>
  <r>
    <n v="1036"/>
    <x v="1"/>
    <x v="5"/>
    <x v="0"/>
    <x v="0"/>
    <x v="0"/>
    <x v="0"/>
    <n v="1.31"/>
    <x v="0"/>
    <x v="5"/>
    <n v="7.4"/>
    <x v="1"/>
    <x v="0"/>
    <x v="0"/>
    <n v="1.0609999999999999"/>
    <x v="0"/>
  </r>
  <r>
    <n v="1037"/>
    <x v="0"/>
    <x v="2"/>
    <x v="0"/>
    <x v="0"/>
    <x v="0"/>
    <x v="0"/>
    <n v="1.54"/>
    <x v="2"/>
    <x v="6"/>
    <n v="8.1"/>
    <x v="1"/>
    <x v="0"/>
    <x v="0"/>
    <n v="1.155"/>
    <x v="2"/>
  </r>
  <r>
    <n v="1038"/>
    <x v="1"/>
    <x v="2"/>
    <x v="0"/>
    <x v="0"/>
    <x v="0"/>
    <x v="1"/>
    <n v="0.87"/>
    <x v="1"/>
    <x v="6"/>
    <n v="5.6"/>
    <x v="1"/>
    <x v="0"/>
    <x v="0"/>
    <n v="0.70599999999999996"/>
    <x v="1"/>
  </r>
  <r>
    <n v="1039"/>
    <x v="0"/>
    <x v="4"/>
    <x v="0"/>
    <x v="0"/>
    <x v="0"/>
    <x v="0"/>
    <n v="0.79"/>
    <x v="2"/>
    <x v="0"/>
    <n v="5.0999999999999996"/>
    <x v="0"/>
    <x v="0"/>
    <x v="0"/>
    <n v="0.69299999999999995"/>
    <x v="1"/>
  </r>
  <r>
    <n v="1040"/>
    <x v="1"/>
    <x v="4"/>
    <x v="0"/>
    <x v="0"/>
    <x v="0"/>
    <x v="1"/>
    <n v="0.48"/>
    <x v="2"/>
    <x v="4"/>
    <n v="5.9"/>
    <x v="0"/>
    <x v="0"/>
    <x v="0"/>
    <n v="0.53500000000000003"/>
    <x v="1"/>
  </r>
  <r>
    <n v="1041"/>
    <x v="1"/>
    <x v="2"/>
    <x v="0"/>
    <x v="0"/>
    <x v="0"/>
    <x v="1"/>
    <n v="1.4"/>
    <x v="0"/>
    <x v="0"/>
    <n v="6.5"/>
    <x v="1"/>
    <x v="0"/>
    <x v="0"/>
    <n v="1.08"/>
    <x v="2"/>
  </r>
  <r>
    <n v="1042"/>
    <x v="1"/>
    <x v="5"/>
    <x v="0"/>
    <x v="0"/>
    <x v="0"/>
    <x v="7"/>
    <n v="1.25"/>
    <x v="0"/>
    <x v="7"/>
    <n v="5.8"/>
    <x v="0"/>
    <x v="0"/>
    <x v="0"/>
    <n v="1.0149999999999999"/>
    <x v="0"/>
  </r>
  <r>
    <n v="1043"/>
    <x v="1"/>
    <x v="4"/>
    <x v="0"/>
    <x v="0"/>
    <x v="0"/>
    <x v="2"/>
    <n v="0.79"/>
    <x v="1"/>
    <x v="7"/>
    <n v="7.4"/>
    <x v="0"/>
    <x v="0"/>
    <x v="0"/>
    <n v="0.69399999999999995"/>
    <x v="1"/>
  </r>
  <r>
    <n v="1044"/>
    <x v="1"/>
    <x v="2"/>
    <x v="0"/>
    <x v="0"/>
    <x v="0"/>
    <x v="4"/>
    <n v="1.46"/>
    <x v="0"/>
    <x v="0"/>
    <n v="6"/>
    <x v="1"/>
    <x v="0"/>
    <x v="0"/>
    <n v="1.1599999999999999"/>
    <x v="2"/>
  </r>
  <r>
    <n v="1045"/>
    <x v="1"/>
    <x v="2"/>
    <x v="0"/>
    <x v="0"/>
    <x v="0"/>
    <x v="2"/>
    <n v="1.29"/>
    <x v="1"/>
    <x v="0"/>
    <n v="5.9"/>
    <x v="1"/>
    <x v="0"/>
    <x v="0"/>
    <n v="0.98099999999999998"/>
    <x v="0"/>
  </r>
  <r>
    <n v="1046"/>
    <x v="0"/>
    <x v="3"/>
    <x v="0"/>
    <x v="0"/>
    <x v="0"/>
    <x v="0"/>
    <n v="0.26"/>
    <x v="2"/>
    <x v="0"/>
    <n v="6.5"/>
    <x v="1"/>
    <x v="0"/>
    <x v="0"/>
    <n v="0.38100000000000001"/>
    <x v="1"/>
  </r>
  <r>
    <n v="1047"/>
    <x v="0"/>
    <x v="5"/>
    <x v="0"/>
    <x v="0"/>
    <x v="0"/>
    <x v="6"/>
    <n v="1.22"/>
    <x v="0"/>
    <x v="3"/>
    <n v="6.9"/>
    <x v="0"/>
    <x v="0"/>
    <x v="0"/>
    <n v="0.95199999999999996"/>
    <x v="0"/>
  </r>
  <r>
    <n v="1048"/>
    <x v="0"/>
    <x v="1"/>
    <x v="0"/>
    <x v="0"/>
    <x v="0"/>
    <x v="0"/>
    <n v="1.06"/>
    <x v="0"/>
    <x v="4"/>
    <n v="7.5"/>
    <x v="0"/>
    <x v="0"/>
    <x v="0"/>
    <n v="0.86799999999999999"/>
    <x v="0"/>
  </r>
  <r>
    <n v="1049"/>
    <x v="0"/>
    <x v="2"/>
    <x v="0"/>
    <x v="0"/>
    <x v="0"/>
    <x v="2"/>
    <n v="1.22"/>
    <x v="1"/>
    <x v="6"/>
    <n v="5.6"/>
    <x v="0"/>
    <x v="0"/>
    <x v="0"/>
    <n v="0.92400000000000004"/>
    <x v="0"/>
  </r>
  <r>
    <n v="1050"/>
    <x v="0"/>
    <x v="1"/>
    <x v="0"/>
    <x v="0"/>
    <x v="0"/>
    <x v="6"/>
    <n v="1.4"/>
    <x v="0"/>
    <x v="2"/>
    <n v="6.9"/>
    <x v="0"/>
    <x v="0"/>
    <x v="0"/>
    <n v="1.1040000000000001"/>
    <x v="2"/>
  </r>
  <r>
    <n v="1051"/>
    <x v="0"/>
    <x v="1"/>
    <x v="0"/>
    <x v="0"/>
    <x v="0"/>
    <x v="1"/>
    <n v="1.5"/>
    <x v="0"/>
    <x v="4"/>
    <n v="7.9"/>
    <x v="1"/>
    <x v="0"/>
    <x v="0"/>
    <n v="1.1539999999999999"/>
    <x v="2"/>
  </r>
  <r>
    <n v="1052"/>
    <x v="0"/>
    <x v="3"/>
    <x v="0"/>
    <x v="0"/>
    <x v="0"/>
    <x v="6"/>
    <n v="1.25"/>
    <x v="0"/>
    <x v="3"/>
    <n v="6.5"/>
    <x v="1"/>
    <x v="0"/>
    <x v="0"/>
    <n v="1.0049999999999999"/>
    <x v="0"/>
  </r>
  <r>
    <n v="1053"/>
    <x v="1"/>
    <x v="0"/>
    <x v="0"/>
    <x v="0"/>
    <x v="0"/>
    <x v="2"/>
    <n v="2.21"/>
    <x v="0"/>
    <x v="4"/>
    <n v="5.9"/>
    <x v="0"/>
    <x v="0"/>
    <x v="1"/>
    <n v="1.641"/>
    <x v="3"/>
  </r>
  <r>
    <n v="1054"/>
    <x v="1"/>
    <x v="1"/>
    <x v="0"/>
    <x v="0"/>
    <x v="0"/>
    <x v="5"/>
    <n v="1.07"/>
    <x v="2"/>
    <x v="3"/>
    <n v="7.1"/>
    <x v="0"/>
    <x v="0"/>
    <x v="0"/>
    <n v="0.90500000000000003"/>
    <x v="0"/>
  </r>
  <r>
    <n v="1055"/>
    <x v="1"/>
    <x v="2"/>
    <x v="0"/>
    <x v="0"/>
    <x v="0"/>
    <x v="0"/>
    <n v="1.21"/>
    <x v="2"/>
    <x v="4"/>
    <n v="8.3000000000000007"/>
    <x v="0"/>
    <x v="0"/>
    <x v="0"/>
    <n v="1.004"/>
    <x v="0"/>
  </r>
  <r>
    <n v="1056"/>
    <x v="0"/>
    <x v="2"/>
    <x v="0"/>
    <x v="0"/>
    <x v="0"/>
    <x v="0"/>
    <n v="0.97"/>
    <x v="0"/>
    <x v="3"/>
    <n v="6.7"/>
    <x v="1"/>
    <x v="0"/>
    <x v="0"/>
    <n v="0.86399999999999999"/>
    <x v="1"/>
  </r>
  <r>
    <n v="1057"/>
    <x v="1"/>
    <x v="3"/>
    <x v="0"/>
    <x v="0"/>
    <x v="0"/>
    <x v="1"/>
    <n v="1.48"/>
    <x v="2"/>
    <x v="3"/>
    <n v="6.4"/>
    <x v="1"/>
    <x v="0"/>
    <x v="0"/>
    <n v="1.196"/>
    <x v="2"/>
  </r>
  <r>
    <n v="1058"/>
    <x v="0"/>
    <x v="2"/>
    <x v="0"/>
    <x v="0"/>
    <x v="0"/>
    <x v="7"/>
    <n v="0.91"/>
    <x v="0"/>
    <x v="0"/>
    <n v="5.8"/>
    <x v="0"/>
    <x v="0"/>
    <x v="0"/>
    <n v="0.82499999999999996"/>
    <x v="1"/>
  </r>
  <r>
    <n v="1059"/>
    <x v="0"/>
    <x v="0"/>
    <x v="0"/>
    <x v="0"/>
    <x v="0"/>
    <x v="3"/>
    <n v="0.87"/>
    <x v="0"/>
    <x v="4"/>
    <n v="7.1"/>
    <x v="1"/>
    <x v="0"/>
    <x v="0"/>
    <n v="0.77600000000000002"/>
    <x v="1"/>
  </r>
  <r>
    <n v="1060"/>
    <x v="1"/>
    <x v="0"/>
    <x v="0"/>
    <x v="0"/>
    <x v="0"/>
    <x v="2"/>
    <n v="0.79"/>
    <x v="0"/>
    <x v="8"/>
    <n v="6"/>
    <x v="1"/>
    <x v="0"/>
    <x v="0"/>
    <n v="0.72"/>
    <x v="1"/>
  </r>
  <r>
    <n v="1061"/>
    <x v="0"/>
    <x v="6"/>
    <x v="0"/>
    <x v="0"/>
    <x v="0"/>
    <x v="0"/>
    <n v="1.35"/>
    <x v="2"/>
    <x v="3"/>
    <n v="6.5"/>
    <x v="0"/>
    <x v="0"/>
    <x v="0"/>
    <n v="1.091"/>
    <x v="0"/>
  </r>
  <r>
    <n v="1062"/>
    <x v="1"/>
    <x v="3"/>
    <x v="0"/>
    <x v="0"/>
    <x v="0"/>
    <x v="4"/>
    <n v="0.94"/>
    <x v="2"/>
    <x v="9"/>
    <n v="7.2"/>
    <x v="0"/>
    <x v="0"/>
    <x v="0"/>
    <n v="0.81599999999999995"/>
    <x v="1"/>
  </r>
  <r>
    <n v="1063"/>
    <x v="1"/>
    <x v="6"/>
    <x v="0"/>
    <x v="0"/>
    <x v="0"/>
    <x v="0"/>
    <n v="0.61"/>
    <x v="0"/>
    <x v="7"/>
    <n v="5.9"/>
    <x v="0"/>
    <x v="0"/>
    <x v="0"/>
    <n v="0.61"/>
    <x v="1"/>
  </r>
  <r>
    <n v="1064"/>
    <x v="1"/>
    <x v="1"/>
    <x v="0"/>
    <x v="0"/>
    <x v="0"/>
    <x v="1"/>
    <n v="1"/>
    <x v="1"/>
    <x v="0"/>
    <n v="9"/>
    <x v="1"/>
    <x v="0"/>
    <x v="0"/>
    <n v="0.85899999999999999"/>
    <x v="0"/>
  </r>
  <r>
    <n v="1065"/>
    <x v="0"/>
    <x v="2"/>
    <x v="0"/>
    <x v="0"/>
    <x v="0"/>
    <x v="7"/>
    <n v="2.02"/>
    <x v="1"/>
    <x v="3"/>
    <n v="7.6"/>
    <x v="1"/>
    <x v="0"/>
    <x v="1"/>
    <n v="1.4810000000000001"/>
    <x v="3"/>
  </r>
  <r>
    <n v="1066"/>
    <x v="1"/>
    <x v="2"/>
    <x v="0"/>
    <x v="0"/>
    <x v="0"/>
    <x v="6"/>
    <n v="1.63"/>
    <x v="0"/>
    <x v="3"/>
    <n v="7.1"/>
    <x v="0"/>
    <x v="0"/>
    <x v="0"/>
    <n v="1.208"/>
    <x v="2"/>
  </r>
  <r>
    <n v="1067"/>
    <x v="1"/>
    <x v="4"/>
    <x v="0"/>
    <x v="0"/>
    <x v="0"/>
    <x v="2"/>
    <n v="1.22"/>
    <x v="0"/>
    <x v="6"/>
    <n v="6.8"/>
    <x v="0"/>
    <x v="0"/>
    <x v="0"/>
    <n v="0.96699999999999997"/>
    <x v="0"/>
  </r>
  <r>
    <n v="1068"/>
    <x v="1"/>
    <x v="4"/>
    <x v="0"/>
    <x v="0"/>
    <x v="0"/>
    <x v="2"/>
    <n v="1.25"/>
    <x v="2"/>
    <x v="6"/>
    <n v="6"/>
    <x v="1"/>
    <x v="0"/>
    <x v="0"/>
    <n v="0.94399999999999995"/>
    <x v="0"/>
  </r>
  <r>
    <n v="1069"/>
    <x v="1"/>
    <x v="0"/>
    <x v="0"/>
    <x v="0"/>
    <x v="0"/>
    <x v="3"/>
    <n v="1.48"/>
    <x v="2"/>
    <x v="6"/>
    <n v="7.7"/>
    <x v="1"/>
    <x v="0"/>
    <x v="0"/>
    <n v="1.165"/>
    <x v="2"/>
  </r>
  <r>
    <n v="1070"/>
    <x v="1"/>
    <x v="4"/>
    <x v="0"/>
    <x v="0"/>
    <x v="0"/>
    <x v="2"/>
    <n v="0.31"/>
    <x v="0"/>
    <x v="7"/>
    <n v="5.7"/>
    <x v="0"/>
    <x v="0"/>
    <x v="0"/>
    <n v="0.40899999999999997"/>
    <x v="1"/>
  </r>
  <r>
    <n v="1071"/>
    <x v="0"/>
    <x v="4"/>
    <x v="0"/>
    <x v="0"/>
    <x v="0"/>
    <x v="2"/>
    <n v="1.25"/>
    <x v="1"/>
    <x v="6"/>
    <n v="6.8"/>
    <x v="1"/>
    <x v="0"/>
    <x v="0"/>
    <n v="1.0049999999999999"/>
    <x v="0"/>
  </r>
  <r>
    <n v="1072"/>
    <x v="1"/>
    <x v="6"/>
    <x v="0"/>
    <x v="0"/>
    <x v="0"/>
    <x v="6"/>
    <n v="1.27"/>
    <x v="0"/>
    <x v="5"/>
    <n v="5.9"/>
    <x v="0"/>
    <x v="0"/>
    <x v="0"/>
    <n v="1.0780000000000001"/>
    <x v="0"/>
  </r>
  <r>
    <n v="1073"/>
    <x v="1"/>
    <x v="6"/>
    <x v="0"/>
    <x v="0"/>
    <x v="0"/>
    <x v="3"/>
    <n v="1.28"/>
    <x v="0"/>
    <x v="5"/>
    <n v="5.6"/>
    <x v="0"/>
    <x v="0"/>
    <x v="0"/>
    <n v="1.002"/>
    <x v="0"/>
  </r>
  <r>
    <n v="1074"/>
    <x v="0"/>
    <x v="1"/>
    <x v="0"/>
    <x v="0"/>
    <x v="0"/>
    <x v="0"/>
    <n v="0.68"/>
    <x v="0"/>
    <x v="3"/>
    <n v="7.7"/>
    <x v="1"/>
    <x v="0"/>
    <x v="0"/>
    <n v="0.63600000000000001"/>
    <x v="1"/>
  </r>
  <r>
    <n v="1075"/>
    <x v="1"/>
    <x v="0"/>
    <x v="0"/>
    <x v="0"/>
    <x v="0"/>
    <x v="2"/>
    <n v="1.33"/>
    <x v="1"/>
    <x v="0"/>
    <n v="5.8"/>
    <x v="1"/>
    <x v="0"/>
    <x v="0"/>
    <n v="1.1160000000000001"/>
    <x v="0"/>
  </r>
  <r>
    <n v="1076"/>
    <x v="1"/>
    <x v="0"/>
    <x v="0"/>
    <x v="0"/>
    <x v="0"/>
    <x v="0"/>
    <n v="1.39"/>
    <x v="2"/>
    <x v="4"/>
    <n v="8.6999999999999993"/>
    <x v="1"/>
    <x v="0"/>
    <x v="0"/>
    <n v="1.107"/>
    <x v="0"/>
  </r>
  <r>
    <n v="1077"/>
    <x v="1"/>
    <x v="5"/>
    <x v="0"/>
    <x v="0"/>
    <x v="0"/>
    <x v="2"/>
    <n v="1.05"/>
    <x v="0"/>
    <x v="6"/>
    <n v="4.7"/>
    <x v="0"/>
    <x v="0"/>
    <x v="0"/>
    <n v="0.875"/>
    <x v="0"/>
  </r>
  <r>
    <n v="1078"/>
    <x v="1"/>
    <x v="5"/>
    <x v="0"/>
    <x v="0"/>
    <x v="0"/>
    <x v="1"/>
    <n v="1.3"/>
    <x v="0"/>
    <x v="3"/>
    <n v="4.5"/>
    <x v="0"/>
    <x v="0"/>
    <x v="0"/>
    <n v="1.0529999999999999"/>
    <x v="0"/>
  </r>
  <r>
    <n v="1079"/>
    <x v="0"/>
    <x v="3"/>
    <x v="0"/>
    <x v="0"/>
    <x v="0"/>
    <x v="6"/>
    <n v="1.68"/>
    <x v="2"/>
    <x v="5"/>
    <n v="6.3"/>
    <x v="1"/>
    <x v="0"/>
    <x v="0"/>
    <n v="1.296"/>
    <x v="2"/>
  </r>
  <r>
    <n v="1080"/>
    <x v="1"/>
    <x v="0"/>
    <x v="0"/>
    <x v="0"/>
    <x v="0"/>
    <x v="3"/>
    <n v="1.22"/>
    <x v="0"/>
    <x v="7"/>
    <n v="7.9"/>
    <x v="1"/>
    <x v="0"/>
    <x v="0"/>
    <n v="0.94599999999999995"/>
    <x v="0"/>
  </r>
  <r>
    <n v="1081"/>
    <x v="1"/>
    <x v="1"/>
    <x v="0"/>
    <x v="0"/>
    <x v="0"/>
    <x v="6"/>
    <n v="1.33"/>
    <x v="1"/>
    <x v="4"/>
    <n v="6.4"/>
    <x v="1"/>
    <x v="0"/>
    <x v="0"/>
    <n v="1.0669999999999999"/>
    <x v="0"/>
  </r>
  <r>
    <n v="1082"/>
    <x v="1"/>
    <x v="2"/>
    <x v="0"/>
    <x v="0"/>
    <x v="0"/>
    <x v="0"/>
    <n v="1.85"/>
    <x v="0"/>
    <x v="3"/>
    <n v="6.5"/>
    <x v="1"/>
    <x v="0"/>
    <x v="0"/>
    <n v="1.395"/>
    <x v="3"/>
  </r>
  <r>
    <n v="1083"/>
    <x v="1"/>
    <x v="0"/>
    <x v="0"/>
    <x v="0"/>
    <x v="0"/>
    <x v="3"/>
    <n v="1.1000000000000001"/>
    <x v="0"/>
    <x v="7"/>
    <n v="8"/>
    <x v="1"/>
    <x v="0"/>
    <x v="0"/>
    <n v="0.89500000000000002"/>
    <x v="0"/>
  </r>
  <r>
    <n v="1084"/>
    <x v="1"/>
    <x v="0"/>
    <x v="0"/>
    <x v="0"/>
    <x v="0"/>
    <x v="4"/>
    <n v="1.27"/>
    <x v="0"/>
    <x v="3"/>
    <n v="5.8"/>
    <x v="1"/>
    <x v="0"/>
    <x v="0"/>
    <n v="1.034"/>
    <x v="0"/>
  </r>
  <r>
    <n v="1085"/>
    <x v="1"/>
    <x v="4"/>
    <x v="0"/>
    <x v="0"/>
    <x v="0"/>
    <x v="1"/>
    <n v="1.66"/>
    <x v="2"/>
    <x v="6"/>
    <n v="6.9"/>
    <x v="0"/>
    <x v="0"/>
    <x v="0"/>
    <n v="1.2350000000000001"/>
    <x v="2"/>
  </r>
  <r>
    <n v="1086"/>
    <x v="0"/>
    <x v="3"/>
    <x v="0"/>
    <x v="0"/>
    <x v="0"/>
    <x v="6"/>
    <n v="1.54"/>
    <x v="0"/>
    <x v="7"/>
    <n v="6"/>
    <x v="1"/>
    <x v="0"/>
    <x v="0"/>
    <n v="1.1859999999999999"/>
    <x v="2"/>
  </r>
  <r>
    <n v="1087"/>
    <x v="0"/>
    <x v="0"/>
    <x v="0"/>
    <x v="0"/>
    <x v="0"/>
    <x v="6"/>
    <n v="1.68"/>
    <x v="0"/>
    <x v="3"/>
    <n v="7.4"/>
    <x v="0"/>
    <x v="0"/>
    <x v="0"/>
    <n v="1.2969999999999999"/>
    <x v="2"/>
  </r>
  <r>
    <n v="1088"/>
    <x v="0"/>
    <x v="6"/>
    <x v="0"/>
    <x v="0"/>
    <x v="0"/>
    <x v="2"/>
    <n v="0.86"/>
    <x v="0"/>
    <x v="4"/>
    <n v="6.7"/>
    <x v="0"/>
    <x v="0"/>
    <x v="0"/>
    <n v="0.76200000000000001"/>
    <x v="1"/>
  </r>
  <r>
    <n v="1089"/>
    <x v="1"/>
    <x v="1"/>
    <x v="0"/>
    <x v="0"/>
    <x v="0"/>
    <x v="3"/>
    <n v="1.1299999999999999"/>
    <x v="1"/>
    <x v="5"/>
    <n v="7"/>
    <x v="1"/>
    <x v="0"/>
    <x v="0"/>
    <n v="0.92400000000000004"/>
    <x v="0"/>
  </r>
  <r>
    <n v="1090"/>
    <x v="0"/>
    <x v="3"/>
    <x v="0"/>
    <x v="0"/>
    <x v="0"/>
    <x v="6"/>
    <n v="0.35"/>
    <x v="0"/>
    <x v="3"/>
    <n v="7"/>
    <x v="0"/>
    <x v="0"/>
    <x v="0"/>
    <n v="0.46300000000000002"/>
    <x v="1"/>
  </r>
  <r>
    <n v="1091"/>
    <x v="0"/>
    <x v="4"/>
    <x v="0"/>
    <x v="0"/>
    <x v="0"/>
    <x v="3"/>
    <n v="1.33"/>
    <x v="2"/>
    <x v="5"/>
    <n v="7.7"/>
    <x v="1"/>
    <x v="0"/>
    <x v="0"/>
    <n v="1.028"/>
    <x v="0"/>
  </r>
  <r>
    <n v="1092"/>
    <x v="0"/>
    <x v="4"/>
    <x v="0"/>
    <x v="0"/>
    <x v="0"/>
    <x v="4"/>
    <n v="1.58"/>
    <x v="1"/>
    <x v="4"/>
    <n v="6.6"/>
    <x v="0"/>
    <x v="0"/>
    <x v="0"/>
    <n v="1.2"/>
    <x v="2"/>
  </r>
  <r>
    <n v="1093"/>
    <x v="1"/>
    <x v="1"/>
    <x v="0"/>
    <x v="0"/>
    <x v="0"/>
    <x v="0"/>
    <n v="1.3"/>
    <x v="0"/>
    <x v="6"/>
    <n v="6.4"/>
    <x v="1"/>
    <x v="0"/>
    <x v="0"/>
    <n v="1.05"/>
    <x v="0"/>
  </r>
  <r>
    <n v="1094"/>
    <x v="1"/>
    <x v="6"/>
    <x v="0"/>
    <x v="0"/>
    <x v="0"/>
    <x v="7"/>
    <n v="2.0299999999999998"/>
    <x v="2"/>
    <x v="6"/>
    <n v="5.8"/>
    <x v="1"/>
    <x v="0"/>
    <x v="1"/>
    <n v="1.47"/>
    <x v="3"/>
  </r>
  <r>
    <n v="1095"/>
    <x v="1"/>
    <x v="6"/>
    <x v="0"/>
    <x v="0"/>
    <x v="0"/>
    <x v="6"/>
    <n v="1.35"/>
    <x v="0"/>
    <x v="6"/>
    <n v="5.4"/>
    <x v="0"/>
    <x v="0"/>
    <x v="0"/>
    <n v="1.0880000000000001"/>
    <x v="0"/>
  </r>
  <r>
    <n v="1096"/>
    <x v="0"/>
    <x v="4"/>
    <x v="0"/>
    <x v="0"/>
    <x v="0"/>
    <x v="2"/>
    <n v="1.66"/>
    <x v="0"/>
    <x v="3"/>
    <n v="7.5"/>
    <x v="0"/>
    <x v="0"/>
    <x v="0"/>
    <n v="1.25"/>
    <x v="2"/>
  </r>
  <r>
    <n v="1097"/>
    <x v="0"/>
    <x v="0"/>
    <x v="0"/>
    <x v="0"/>
    <x v="0"/>
    <x v="1"/>
    <n v="0.89"/>
    <x v="0"/>
    <x v="7"/>
    <n v="8.1"/>
    <x v="1"/>
    <x v="0"/>
    <x v="0"/>
    <n v="0.8"/>
    <x v="1"/>
  </r>
  <r>
    <n v="1098"/>
    <x v="0"/>
    <x v="2"/>
    <x v="0"/>
    <x v="0"/>
    <x v="0"/>
    <x v="1"/>
    <n v="0.35"/>
    <x v="0"/>
    <x v="4"/>
    <n v="6.2"/>
    <x v="0"/>
    <x v="0"/>
    <x v="0"/>
    <n v="0.42"/>
    <x v="1"/>
  </r>
  <r>
    <n v="1099"/>
    <x v="0"/>
    <x v="6"/>
    <x v="0"/>
    <x v="0"/>
    <x v="0"/>
    <x v="0"/>
    <n v="1.26"/>
    <x v="0"/>
    <x v="4"/>
    <n v="6.2"/>
    <x v="1"/>
    <x v="0"/>
    <x v="0"/>
    <n v="0.97099999999999997"/>
    <x v="0"/>
  </r>
  <r>
    <n v="1100"/>
    <x v="1"/>
    <x v="6"/>
    <x v="0"/>
    <x v="0"/>
    <x v="0"/>
    <x v="1"/>
    <n v="1.37"/>
    <x v="2"/>
    <x v="2"/>
    <n v="7.3"/>
    <x v="0"/>
    <x v="0"/>
    <x v="0"/>
    <n v="1.08"/>
    <x v="0"/>
  </r>
  <r>
    <n v="1101"/>
    <x v="1"/>
    <x v="6"/>
    <x v="0"/>
    <x v="0"/>
    <x v="0"/>
    <x v="0"/>
    <n v="0.5"/>
    <x v="1"/>
    <x v="6"/>
    <n v="6.5"/>
    <x v="1"/>
    <x v="0"/>
    <x v="0"/>
    <n v="0.50600000000000001"/>
    <x v="1"/>
  </r>
  <r>
    <n v="1102"/>
    <x v="0"/>
    <x v="4"/>
    <x v="0"/>
    <x v="0"/>
    <x v="0"/>
    <x v="6"/>
    <n v="1.67"/>
    <x v="0"/>
    <x v="7"/>
    <n v="5.8"/>
    <x v="0"/>
    <x v="0"/>
    <x v="0"/>
    <n v="1.272"/>
    <x v="2"/>
  </r>
  <r>
    <n v="1103"/>
    <x v="0"/>
    <x v="6"/>
    <x v="0"/>
    <x v="0"/>
    <x v="0"/>
    <x v="2"/>
    <n v="1.54"/>
    <x v="1"/>
    <x v="2"/>
    <n v="5"/>
    <x v="1"/>
    <x v="0"/>
    <x v="0"/>
    <n v="1.169"/>
    <x v="2"/>
  </r>
  <r>
    <n v="1104"/>
    <x v="1"/>
    <x v="3"/>
    <x v="0"/>
    <x v="0"/>
    <x v="0"/>
    <x v="2"/>
    <n v="0.83"/>
    <x v="1"/>
    <x v="4"/>
    <n v="8.1"/>
    <x v="1"/>
    <x v="0"/>
    <x v="0"/>
    <n v="0.78200000000000003"/>
    <x v="1"/>
  </r>
  <r>
    <n v="1105"/>
    <x v="1"/>
    <x v="1"/>
    <x v="0"/>
    <x v="0"/>
    <x v="0"/>
    <x v="0"/>
    <n v="0.9"/>
    <x v="1"/>
    <x v="6"/>
    <n v="5.9"/>
    <x v="1"/>
    <x v="0"/>
    <x v="0"/>
    <n v="0.77800000000000002"/>
    <x v="1"/>
  </r>
  <r>
    <n v="1106"/>
    <x v="1"/>
    <x v="5"/>
    <x v="0"/>
    <x v="0"/>
    <x v="0"/>
    <x v="2"/>
    <n v="1.37"/>
    <x v="0"/>
    <x v="4"/>
    <n v="6.6"/>
    <x v="0"/>
    <x v="0"/>
    <x v="0"/>
    <n v="1.109"/>
    <x v="0"/>
  </r>
  <r>
    <n v="1107"/>
    <x v="0"/>
    <x v="0"/>
    <x v="0"/>
    <x v="0"/>
    <x v="0"/>
    <x v="6"/>
    <n v="0.84"/>
    <x v="0"/>
    <x v="3"/>
    <n v="7.7"/>
    <x v="0"/>
    <x v="0"/>
    <x v="0"/>
    <n v="0.755"/>
    <x v="1"/>
  </r>
  <r>
    <n v="1108"/>
    <x v="0"/>
    <x v="6"/>
    <x v="0"/>
    <x v="0"/>
    <x v="0"/>
    <x v="0"/>
    <n v="1.44"/>
    <x v="0"/>
    <x v="7"/>
    <n v="5.6"/>
    <x v="1"/>
    <x v="0"/>
    <x v="0"/>
    <n v="1.1439999999999999"/>
    <x v="2"/>
  </r>
  <r>
    <n v="1109"/>
    <x v="1"/>
    <x v="3"/>
    <x v="0"/>
    <x v="0"/>
    <x v="0"/>
    <x v="2"/>
    <n v="0.95"/>
    <x v="0"/>
    <x v="5"/>
    <n v="7.1"/>
    <x v="1"/>
    <x v="0"/>
    <x v="0"/>
    <n v="0.79700000000000004"/>
    <x v="1"/>
  </r>
  <r>
    <n v="1110"/>
    <x v="0"/>
    <x v="3"/>
    <x v="0"/>
    <x v="0"/>
    <x v="0"/>
    <x v="2"/>
    <n v="1.1499999999999999"/>
    <x v="1"/>
    <x v="0"/>
    <n v="7"/>
    <x v="0"/>
    <x v="0"/>
    <x v="0"/>
    <n v="0.95299999999999996"/>
    <x v="0"/>
  </r>
  <r>
    <n v="1111"/>
    <x v="1"/>
    <x v="1"/>
    <x v="0"/>
    <x v="0"/>
    <x v="0"/>
    <x v="5"/>
    <n v="1.08"/>
    <x v="0"/>
    <x v="6"/>
    <n v="4.7"/>
    <x v="1"/>
    <x v="0"/>
    <x v="0"/>
    <n v="0.83499999999999996"/>
    <x v="0"/>
  </r>
  <r>
    <n v="1112"/>
    <x v="1"/>
    <x v="2"/>
    <x v="0"/>
    <x v="0"/>
    <x v="0"/>
    <x v="0"/>
    <n v="0.96"/>
    <x v="0"/>
    <x v="3"/>
    <n v="8"/>
    <x v="1"/>
    <x v="0"/>
    <x v="0"/>
    <n v="0.76100000000000001"/>
    <x v="1"/>
  </r>
  <r>
    <n v="1113"/>
    <x v="0"/>
    <x v="1"/>
    <x v="0"/>
    <x v="0"/>
    <x v="0"/>
    <x v="7"/>
    <n v="1.06"/>
    <x v="2"/>
    <x v="6"/>
    <n v="6.7"/>
    <x v="0"/>
    <x v="0"/>
    <x v="0"/>
    <n v="0.88700000000000001"/>
    <x v="0"/>
  </r>
  <r>
    <n v="1114"/>
    <x v="1"/>
    <x v="5"/>
    <x v="0"/>
    <x v="0"/>
    <x v="0"/>
    <x v="3"/>
    <n v="1.57"/>
    <x v="0"/>
    <x v="5"/>
    <n v="6.2"/>
    <x v="1"/>
    <x v="0"/>
    <x v="0"/>
    <n v="1.2"/>
    <x v="2"/>
  </r>
  <r>
    <n v="1115"/>
    <x v="1"/>
    <x v="6"/>
    <x v="0"/>
    <x v="0"/>
    <x v="0"/>
    <x v="5"/>
    <n v="1.6"/>
    <x v="0"/>
    <x v="0"/>
    <n v="6.6"/>
    <x v="0"/>
    <x v="0"/>
    <x v="0"/>
    <n v="1.248"/>
    <x v="2"/>
  </r>
  <r>
    <n v="1116"/>
    <x v="1"/>
    <x v="3"/>
    <x v="0"/>
    <x v="0"/>
    <x v="0"/>
    <x v="3"/>
    <n v="0.95"/>
    <x v="0"/>
    <x v="7"/>
    <n v="4.9000000000000004"/>
    <x v="1"/>
    <x v="0"/>
    <x v="0"/>
    <n v="0.77"/>
    <x v="1"/>
  </r>
  <r>
    <n v="1117"/>
    <x v="1"/>
    <x v="5"/>
    <x v="0"/>
    <x v="0"/>
    <x v="0"/>
    <x v="2"/>
    <n v="1.77"/>
    <x v="2"/>
    <x v="5"/>
    <n v="6.8"/>
    <x v="0"/>
    <x v="0"/>
    <x v="0"/>
    <n v="1.355"/>
    <x v="2"/>
  </r>
  <r>
    <n v="1118"/>
    <x v="0"/>
    <x v="0"/>
    <x v="0"/>
    <x v="0"/>
    <x v="0"/>
    <x v="0"/>
    <n v="1.28"/>
    <x v="1"/>
    <x v="3"/>
    <n v="6.7"/>
    <x v="1"/>
    <x v="0"/>
    <x v="0"/>
    <n v="1.034"/>
    <x v="0"/>
  </r>
  <r>
    <n v="1119"/>
    <x v="1"/>
    <x v="5"/>
    <x v="0"/>
    <x v="0"/>
    <x v="0"/>
    <x v="1"/>
    <n v="1.24"/>
    <x v="0"/>
    <x v="0"/>
    <n v="5.0999999999999996"/>
    <x v="1"/>
    <x v="0"/>
    <x v="0"/>
    <n v="0.93899999999999995"/>
    <x v="0"/>
  </r>
  <r>
    <n v="1120"/>
    <x v="1"/>
    <x v="6"/>
    <x v="0"/>
    <x v="0"/>
    <x v="0"/>
    <x v="2"/>
    <n v="1.26"/>
    <x v="1"/>
    <x v="0"/>
    <n v="6.9"/>
    <x v="1"/>
    <x v="0"/>
    <x v="0"/>
    <n v="1.0469999999999999"/>
    <x v="0"/>
  </r>
  <r>
    <n v="1121"/>
    <x v="1"/>
    <x v="6"/>
    <x v="0"/>
    <x v="0"/>
    <x v="0"/>
    <x v="1"/>
    <n v="1.29"/>
    <x v="0"/>
    <x v="3"/>
    <n v="5.2"/>
    <x v="1"/>
    <x v="0"/>
    <x v="0"/>
    <n v="1.0369999999999999"/>
    <x v="0"/>
  </r>
  <r>
    <n v="1122"/>
    <x v="1"/>
    <x v="5"/>
    <x v="0"/>
    <x v="0"/>
    <x v="0"/>
    <x v="2"/>
    <n v="1.38"/>
    <x v="0"/>
    <x v="3"/>
    <n v="6.4"/>
    <x v="1"/>
    <x v="0"/>
    <x v="0"/>
    <n v="1.109"/>
    <x v="0"/>
  </r>
  <r>
    <n v="1123"/>
    <x v="1"/>
    <x v="1"/>
    <x v="0"/>
    <x v="0"/>
    <x v="0"/>
    <x v="2"/>
    <n v="1.25"/>
    <x v="0"/>
    <x v="3"/>
    <n v="7.3"/>
    <x v="1"/>
    <x v="0"/>
    <x v="0"/>
    <n v="1.0349999999999999"/>
    <x v="0"/>
  </r>
  <r>
    <n v="1124"/>
    <x v="1"/>
    <x v="2"/>
    <x v="0"/>
    <x v="0"/>
    <x v="0"/>
    <x v="3"/>
    <n v="1.04"/>
    <x v="0"/>
    <x v="0"/>
    <n v="7.1"/>
    <x v="1"/>
    <x v="0"/>
    <x v="0"/>
    <n v="0.86599999999999999"/>
    <x v="0"/>
  </r>
  <r>
    <n v="1125"/>
    <x v="0"/>
    <x v="1"/>
    <x v="0"/>
    <x v="0"/>
    <x v="0"/>
    <x v="2"/>
    <n v="1.7"/>
    <x v="2"/>
    <x v="0"/>
    <n v="7.7"/>
    <x v="1"/>
    <x v="0"/>
    <x v="0"/>
    <n v="1.2729999999999999"/>
    <x v="2"/>
  </r>
  <r>
    <n v="1126"/>
    <x v="1"/>
    <x v="2"/>
    <x v="0"/>
    <x v="0"/>
    <x v="0"/>
    <x v="6"/>
    <n v="0.88"/>
    <x v="1"/>
    <x v="3"/>
    <n v="7.8"/>
    <x v="1"/>
    <x v="0"/>
    <x v="0"/>
    <n v="0.76700000000000002"/>
    <x v="1"/>
  </r>
  <r>
    <n v="1127"/>
    <x v="1"/>
    <x v="3"/>
    <x v="0"/>
    <x v="0"/>
    <x v="0"/>
    <x v="1"/>
    <n v="1.41"/>
    <x v="0"/>
    <x v="7"/>
    <n v="6.7"/>
    <x v="1"/>
    <x v="0"/>
    <x v="0"/>
    <n v="1.1220000000000001"/>
    <x v="2"/>
  </r>
  <r>
    <n v="1128"/>
    <x v="0"/>
    <x v="2"/>
    <x v="0"/>
    <x v="0"/>
    <x v="0"/>
    <x v="3"/>
    <n v="1.04"/>
    <x v="0"/>
    <x v="6"/>
    <n v="4.7"/>
    <x v="0"/>
    <x v="0"/>
    <x v="0"/>
    <n v="0.91400000000000003"/>
    <x v="0"/>
  </r>
  <r>
    <n v="1129"/>
    <x v="1"/>
    <x v="6"/>
    <x v="0"/>
    <x v="0"/>
    <x v="0"/>
    <x v="6"/>
    <n v="1.2"/>
    <x v="0"/>
    <x v="2"/>
    <n v="8.1999999999999993"/>
    <x v="1"/>
    <x v="0"/>
    <x v="0"/>
    <n v="0.97899999999999998"/>
    <x v="0"/>
  </r>
  <r>
    <n v="1130"/>
    <x v="1"/>
    <x v="0"/>
    <x v="0"/>
    <x v="0"/>
    <x v="0"/>
    <x v="0"/>
    <n v="1.21"/>
    <x v="2"/>
    <x v="0"/>
    <n v="5.6"/>
    <x v="1"/>
    <x v="0"/>
    <x v="0"/>
    <n v="0.95199999999999996"/>
    <x v="0"/>
  </r>
  <r>
    <n v="1131"/>
    <x v="0"/>
    <x v="3"/>
    <x v="0"/>
    <x v="0"/>
    <x v="0"/>
    <x v="1"/>
    <n v="1.23"/>
    <x v="1"/>
    <x v="7"/>
    <n v="4.7"/>
    <x v="0"/>
    <x v="0"/>
    <x v="0"/>
    <n v="0.995"/>
    <x v="0"/>
  </r>
  <r>
    <n v="1132"/>
    <x v="1"/>
    <x v="3"/>
    <x v="0"/>
    <x v="0"/>
    <x v="0"/>
    <x v="6"/>
    <n v="1.1100000000000001"/>
    <x v="1"/>
    <x v="7"/>
    <n v="8.9"/>
    <x v="0"/>
    <x v="0"/>
    <x v="0"/>
    <n v="0.89100000000000001"/>
    <x v="0"/>
  </r>
  <r>
    <n v="1133"/>
    <x v="0"/>
    <x v="1"/>
    <x v="0"/>
    <x v="0"/>
    <x v="0"/>
    <x v="7"/>
    <n v="1.51"/>
    <x v="2"/>
    <x v="1"/>
    <n v="6.2"/>
    <x v="1"/>
    <x v="0"/>
    <x v="0"/>
    <n v="1.163"/>
    <x v="2"/>
  </r>
  <r>
    <n v="1134"/>
    <x v="0"/>
    <x v="0"/>
    <x v="0"/>
    <x v="0"/>
    <x v="0"/>
    <x v="3"/>
    <n v="1.77"/>
    <x v="1"/>
    <x v="4"/>
    <n v="8.6"/>
    <x v="0"/>
    <x v="0"/>
    <x v="0"/>
    <n v="1.3240000000000001"/>
    <x v="2"/>
  </r>
  <r>
    <n v="1135"/>
    <x v="0"/>
    <x v="5"/>
    <x v="0"/>
    <x v="0"/>
    <x v="0"/>
    <x v="0"/>
    <n v="1.47"/>
    <x v="2"/>
    <x v="0"/>
    <n v="5.0999999999999996"/>
    <x v="1"/>
    <x v="0"/>
    <x v="0"/>
    <n v="1.121"/>
    <x v="2"/>
  </r>
  <r>
    <n v="1136"/>
    <x v="1"/>
    <x v="4"/>
    <x v="0"/>
    <x v="0"/>
    <x v="0"/>
    <x v="7"/>
    <n v="1.32"/>
    <x v="0"/>
    <x v="6"/>
    <n v="7.4"/>
    <x v="0"/>
    <x v="0"/>
    <x v="0"/>
    <n v="1.042"/>
    <x v="0"/>
  </r>
  <r>
    <n v="1137"/>
    <x v="1"/>
    <x v="6"/>
    <x v="0"/>
    <x v="0"/>
    <x v="0"/>
    <x v="2"/>
    <n v="1.21"/>
    <x v="0"/>
    <x v="0"/>
    <n v="5.9"/>
    <x v="0"/>
    <x v="0"/>
    <x v="0"/>
    <n v="0.94699999999999995"/>
    <x v="0"/>
  </r>
  <r>
    <n v="1138"/>
    <x v="0"/>
    <x v="5"/>
    <x v="0"/>
    <x v="0"/>
    <x v="0"/>
    <x v="1"/>
    <n v="1.1499999999999999"/>
    <x v="0"/>
    <x v="6"/>
    <n v="7.9"/>
    <x v="0"/>
    <x v="0"/>
    <x v="0"/>
    <n v="0.96599999999999997"/>
    <x v="0"/>
  </r>
  <r>
    <n v="1139"/>
    <x v="1"/>
    <x v="2"/>
    <x v="0"/>
    <x v="0"/>
    <x v="0"/>
    <x v="1"/>
    <n v="1.57"/>
    <x v="1"/>
    <x v="1"/>
    <n v="7.1"/>
    <x v="1"/>
    <x v="0"/>
    <x v="0"/>
    <n v="1.2"/>
    <x v="2"/>
  </r>
  <r>
    <n v="1140"/>
    <x v="0"/>
    <x v="4"/>
    <x v="0"/>
    <x v="0"/>
    <x v="0"/>
    <x v="2"/>
    <n v="1.1299999999999999"/>
    <x v="0"/>
    <x v="4"/>
    <n v="5.7"/>
    <x v="0"/>
    <x v="0"/>
    <x v="0"/>
    <n v="0.9419999999999999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fieldListSortAscending="1">
  <location ref="A1:B5" firstHeaderRow="1" firstDataRow="1" firstDataCol="1"/>
  <pivotFields count="16">
    <pivotField showAll="0"/>
    <pivotField showAll="0"/>
    <pivotField showAll="0"/>
    <pivotField showAll="0"/>
    <pivotField showAll="0"/>
    <pivotField dataField="1"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Sum of Attendance_Percentag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udy_Hours_Group" sourceName="Study_Hours_Group">
  <extLst>
    <x:ext xmlns:x15="http://schemas.microsoft.com/office/spreadsheetml/2010/11/main" uri="{2F2917AC-EB37-4324-AD4E-5DD8C200BD13}">
      <x15:tableSlicerCache tableId="1" column="1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mester" sourceName="Semester">
  <extLst>
    <x:ext xmlns:x15="http://schemas.microsoft.com/office/spreadsheetml/2010/11/main" uri="{2F2917AC-EB37-4324-AD4E-5DD8C200BD13}">
      <x15:tableSlicerCache tableId="1" column="1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rticipation_Level" sourceName="Participation_Level">
  <extLst>
    <x:ext xmlns:x15="http://schemas.microsoft.com/office/spreadsheetml/2010/11/main" uri="{2F2917AC-EB37-4324-AD4E-5DD8C200BD13}">
      <x15:tableSlicerCache tableId="1" column="9"/>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rticipation_Level 1" cache="Slicer_Participation_Level" caption="Participation_Level" rowHeight="234950"/>
  <slicer name="Gender 1"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Study_Hours_Group" cache="Slicer_Study_Hours_Group" caption="Study_Hours_Group" rowHeight="234950"/>
  <slicer name="Semester" cache="Slicer_Semester" caption="Semester" rowHeight="234950"/>
  <slicer name="Participation_Level" cache="Slicer_Participation_Level" caption="Participation_Level" rowHeight="234950"/>
  <slicer name="Gender" cache="Slicer_Gender" caption="Gender" rowHeight="234950"/>
</slicers>
</file>

<file path=xl/tables/table1.xml><?xml version="1.0" encoding="utf-8"?>
<table xmlns="http://schemas.openxmlformats.org/spreadsheetml/2006/main" id="1" name="Table1" displayName="Table1" ref="A1:P141" totalsRowShown="0" headerRowDxfId="6" headerRowBorderDxfId="5" tableBorderDxfId="4">
  <autoFilter ref="A1:P141">
    <filterColumn colId="8">
      <filters>
        <filter val="Low"/>
      </filters>
    </filterColumn>
    <filterColumn colId="11">
      <filters>
        <filter val="Spring 2024"/>
      </filters>
    </filterColumn>
  </autoFilter>
  <tableColumns count="16">
    <tableColumn id="1" name="Student_ID"/>
    <tableColumn id="2" name="Gender"/>
    <tableColumn id="3" name="Age"/>
    <tableColumn id="4" name="Major"/>
    <tableColumn id="5" name="Study_Hours_per_Week" dataDxfId="3"/>
    <tableColumn id="6" name="Attendance_Percentage" dataDxfId="2"/>
    <tableColumn id="7" name="Assignments_Completed"/>
    <tableColumn id="8" name="GPA" dataDxfId="1"/>
    <tableColumn id="9" name="Participation_Level"/>
    <tableColumn id="10" name="Stress_Level"/>
    <tableColumn id="11" name="Sleep_Hours"/>
    <tableColumn id="12" name="Semester"/>
    <tableColumn id="13" name="Study_Hours_Group">
      <calculatedColumnFormula>IF(Table1[[#This Row],[Study_Hours_per_Week]]&lt;=5, "0-5",
 IF(Table1[[#This Row],[Study_Hours_per_Week]]&lt;=10, "6-10",
 IF(Table1[[#This Row],[Study_Hours_per_Week]]&lt;=15, "11-15",
 IF(Table1[[#This Row],[Study_Hours_per_Week]]&lt;=20, "16-20", "21+"))))</calculatedColumnFormula>
    </tableColumn>
    <tableColumn id="14" name="Pass_Fail">
      <calculatedColumnFormula>IF(Table1[[#This Row],[GPA]] &gt;= 2, "Pass", "Fail")</calculatedColumnFormula>
    </tableColumn>
    <tableColumn id="15" name="Score_Index"/>
    <tableColumn id="16" name="Performance_Category" dataDxfId="0">
      <calculatedColumnFormula>IF(H2&gt;=1.8,"Excellent",IF(H2&gt;=1.4,"Good",IF(H2&gt;=1,"Average","Below Average")))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1"/>
  <sheetViews>
    <sheetView workbookViewId="0">
      <selection activeCell="F24" sqref="F24"/>
    </sheetView>
  </sheetViews>
  <sheetFormatPr defaultRowHeight="14.4" x14ac:dyDescent="0.3"/>
  <cols>
    <col min="1" max="1" width="10.44140625" bestFit="1" customWidth="1"/>
    <col min="2" max="2" width="7.109375" bestFit="1" customWidth="1"/>
    <col min="3" max="3" width="4.21875" bestFit="1" customWidth="1"/>
    <col min="4" max="4" width="15.77734375" bestFit="1" customWidth="1"/>
    <col min="5" max="5" width="21.6640625" bestFit="1" customWidth="1"/>
    <col min="6" max="6" width="21.5546875" bestFit="1" customWidth="1"/>
    <col min="7" max="7" width="22.109375" bestFit="1" customWidth="1"/>
    <col min="8" max="8" width="5" bestFit="1" customWidth="1"/>
    <col min="9" max="9" width="17.21875" bestFit="1" customWidth="1"/>
    <col min="10" max="10" width="11.21875" bestFit="1" customWidth="1"/>
    <col min="11" max="11" width="11.44140625" bestFit="1" customWidth="1"/>
    <col min="12" max="13" width="10.332031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1001</v>
      </c>
      <c r="B2" t="s">
        <v>12</v>
      </c>
      <c r="C2">
        <v>20</v>
      </c>
      <c r="D2" t="s">
        <v>13</v>
      </c>
      <c r="E2">
        <v>18</v>
      </c>
      <c r="F2">
        <v>86.9</v>
      </c>
      <c r="G2">
        <v>6</v>
      </c>
      <c r="H2">
        <v>1.05</v>
      </c>
      <c r="I2" t="s">
        <v>14</v>
      </c>
      <c r="J2">
        <v>3</v>
      </c>
      <c r="K2">
        <v>5.9</v>
      </c>
      <c r="L2" t="s">
        <v>15</v>
      </c>
    </row>
    <row r="3" spans="1:12" x14ac:dyDescent="0.3">
      <c r="A3">
        <v>1002</v>
      </c>
      <c r="B3" t="s">
        <v>16</v>
      </c>
      <c r="C3">
        <v>22</v>
      </c>
      <c r="D3" t="s">
        <v>13</v>
      </c>
      <c r="E3">
        <v>9</v>
      </c>
      <c r="F3">
        <v>67.099999999999994</v>
      </c>
      <c r="G3">
        <v>7</v>
      </c>
      <c r="H3">
        <v>1.1399999999999999</v>
      </c>
      <c r="I3" t="s">
        <v>17</v>
      </c>
      <c r="J3">
        <v>10</v>
      </c>
      <c r="K3">
        <v>6.9</v>
      </c>
      <c r="L3" t="s">
        <v>18</v>
      </c>
    </row>
    <row r="4" spans="1:12" x14ac:dyDescent="0.3">
      <c r="A4">
        <v>1003</v>
      </c>
      <c r="B4" t="s">
        <v>12</v>
      </c>
      <c r="C4">
        <v>19</v>
      </c>
      <c r="D4" t="s">
        <v>13</v>
      </c>
      <c r="E4">
        <v>16</v>
      </c>
      <c r="F4">
        <v>83.9</v>
      </c>
      <c r="G4">
        <v>6</v>
      </c>
      <c r="H4">
        <v>0.98</v>
      </c>
      <c r="I4" t="s">
        <v>14</v>
      </c>
      <c r="J4">
        <v>8</v>
      </c>
      <c r="K4">
        <v>6.5</v>
      </c>
      <c r="L4" t="s">
        <v>15</v>
      </c>
    </row>
    <row r="5" spans="1:12" x14ac:dyDescent="0.3">
      <c r="A5">
        <v>1004</v>
      </c>
      <c r="B5" t="s">
        <v>16</v>
      </c>
      <c r="C5">
        <v>23</v>
      </c>
      <c r="D5" t="s">
        <v>13</v>
      </c>
      <c r="E5">
        <v>9</v>
      </c>
      <c r="F5">
        <v>94.6</v>
      </c>
      <c r="G5">
        <v>10</v>
      </c>
      <c r="H5">
        <v>0.76</v>
      </c>
      <c r="I5" t="s">
        <v>14</v>
      </c>
      <c r="J5">
        <v>4</v>
      </c>
      <c r="K5">
        <v>6.2</v>
      </c>
      <c r="L5" t="s">
        <v>15</v>
      </c>
    </row>
    <row r="6" spans="1:12" x14ac:dyDescent="0.3">
      <c r="A6">
        <v>1005</v>
      </c>
      <c r="B6" t="s">
        <v>12</v>
      </c>
      <c r="C6">
        <v>24</v>
      </c>
      <c r="D6" t="s">
        <v>13</v>
      </c>
      <c r="E6">
        <v>6</v>
      </c>
      <c r="F6">
        <v>82.2</v>
      </c>
      <c r="G6">
        <v>8</v>
      </c>
      <c r="H6">
        <v>1.1200000000000001</v>
      </c>
      <c r="I6" t="s">
        <v>17</v>
      </c>
      <c r="J6">
        <v>6</v>
      </c>
      <c r="K6">
        <v>7.4</v>
      </c>
      <c r="L6" t="s">
        <v>15</v>
      </c>
    </row>
    <row r="7" spans="1:12" x14ac:dyDescent="0.3">
      <c r="A7">
        <v>1006</v>
      </c>
      <c r="B7" t="s">
        <v>12</v>
      </c>
      <c r="C7">
        <v>19</v>
      </c>
      <c r="D7" t="s">
        <v>13</v>
      </c>
      <c r="E7">
        <v>20</v>
      </c>
      <c r="F7">
        <v>86.3</v>
      </c>
      <c r="G7">
        <v>6</v>
      </c>
      <c r="H7">
        <v>1.08</v>
      </c>
      <c r="I7" t="s">
        <v>14</v>
      </c>
      <c r="J7">
        <v>6</v>
      </c>
      <c r="K7">
        <v>7.9</v>
      </c>
      <c r="L7" t="s">
        <v>18</v>
      </c>
    </row>
    <row r="8" spans="1:12" x14ac:dyDescent="0.3">
      <c r="A8">
        <v>1007</v>
      </c>
      <c r="B8" t="s">
        <v>12</v>
      </c>
      <c r="C8">
        <v>20</v>
      </c>
      <c r="D8" t="s">
        <v>13</v>
      </c>
      <c r="E8">
        <v>15</v>
      </c>
      <c r="F8">
        <v>96</v>
      </c>
      <c r="G8">
        <v>8</v>
      </c>
      <c r="H8">
        <v>0.83</v>
      </c>
      <c r="I8" t="s">
        <v>19</v>
      </c>
      <c r="J8">
        <v>7</v>
      </c>
      <c r="K8">
        <v>7.4</v>
      </c>
      <c r="L8" t="s">
        <v>18</v>
      </c>
    </row>
    <row r="9" spans="1:12" x14ac:dyDescent="0.3">
      <c r="A9">
        <v>1008</v>
      </c>
      <c r="B9" t="s">
        <v>16</v>
      </c>
      <c r="C9">
        <v>22</v>
      </c>
      <c r="D9" t="s">
        <v>13</v>
      </c>
      <c r="E9">
        <v>15</v>
      </c>
      <c r="F9">
        <v>83.7</v>
      </c>
      <c r="G9">
        <v>7</v>
      </c>
      <c r="H9">
        <v>0.69</v>
      </c>
      <c r="I9" t="s">
        <v>17</v>
      </c>
      <c r="J9">
        <v>5</v>
      </c>
      <c r="K9">
        <v>6.8</v>
      </c>
      <c r="L9" t="s">
        <v>18</v>
      </c>
    </row>
    <row r="10" spans="1:12" x14ac:dyDescent="0.3">
      <c r="A10">
        <v>1009</v>
      </c>
      <c r="B10" t="s">
        <v>12</v>
      </c>
      <c r="C10">
        <v>23</v>
      </c>
      <c r="D10" t="s">
        <v>13</v>
      </c>
      <c r="E10">
        <v>23</v>
      </c>
      <c r="F10">
        <v>89.4</v>
      </c>
      <c r="G10">
        <v>7</v>
      </c>
      <c r="H10">
        <v>0.56000000000000005</v>
      </c>
      <c r="I10" t="s">
        <v>14</v>
      </c>
      <c r="J10">
        <v>5</v>
      </c>
      <c r="K10">
        <v>6.1</v>
      </c>
      <c r="L10" t="s">
        <v>18</v>
      </c>
    </row>
    <row r="11" spans="1:12" x14ac:dyDescent="0.3">
      <c r="A11">
        <v>1010</v>
      </c>
      <c r="B11" t="s">
        <v>16</v>
      </c>
      <c r="C11">
        <v>18</v>
      </c>
      <c r="D11" t="s">
        <v>13</v>
      </c>
      <c r="E11">
        <v>13</v>
      </c>
      <c r="F11">
        <v>91.6</v>
      </c>
      <c r="G11">
        <v>10</v>
      </c>
      <c r="H11">
        <v>1.1299999999999999</v>
      </c>
      <c r="I11" t="s">
        <v>14</v>
      </c>
      <c r="J11">
        <v>5</v>
      </c>
      <c r="K11">
        <v>9</v>
      </c>
      <c r="L11" t="s">
        <v>18</v>
      </c>
    </row>
    <row r="12" spans="1:12" x14ac:dyDescent="0.3">
      <c r="A12">
        <v>1011</v>
      </c>
      <c r="B12" t="s">
        <v>16</v>
      </c>
      <c r="C12">
        <v>21</v>
      </c>
      <c r="D12" t="s">
        <v>13</v>
      </c>
      <c r="E12">
        <v>14</v>
      </c>
      <c r="F12">
        <v>90.4</v>
      </c>
      <c r="G12">
        <v>10</v>
      </c>
      <c r="H12">
        <v>0.92</v>
      </c>
      <c r="I12" t="s">
        <v>14</v>
      </c>
      <c r="J12">
        <v>5</v>
      </c>
      <c r="K12">
        <v>6</v>
      </c>
      <c r="L12" t="s">
        <v>18</v>
      </c>
    </row>
    <row r="13" spans="1:12" x14ac:dyDescent="0.3">
      <c r="A13">
        <v>1012</v>
      </c>
      <c r="B13" t="s">
        <v>12</v>
      </c>
      <c r="C13">
        <v>23</v>
      </c>
      <c r="D13" t="s">
        <v>13</v>
      </c>
      <c r="E13">
        <v>21</v>
      </c>
      <c r="F13">
        <v>100</v>
      </c>
      <c r="G13">
        <v>4</v>
      </c>
      <c r="H13">
        <v>1.68</v>
      </c>
      <c r="I13" t="s">
        <v>14</v>
      </c>
      <c r="J13">
        <v>3</v>
      </c>
      <c r="K13">
        <v>8</v>
      </c>
      <c r="L13" t="s">
        <v>15</v>
      </c>
    </row>
    <row r="14" spans="1:12" x14ac:dyDescent="0.3">
      <c r="A14">
        <v>1013</v>
      </c>
      <c r="B14" t="s">
        <v>12</v>
      </c>
      <c r="C14">
        <v>23</v>
      </c>
      <c r="D14" t="s">
        <v>13</v>
      </c>
      <c r="E14">
        <v>10</v>
      </c>
      <c r="F14">
        <v>85.4</v>
      </c>
      <c r="G14">
        <v>10</v>
      </c>
      <c r="H14">
        <v>1.44</v>
      </c>
      <c r="I14" t="s">
        <v>14</v>
      </c>
      <c r="J14">
        <v>3</v>
      </c>
      <c r="K14">
        <v>7.1</v>
      </c>
      <c r="L14" t="s">
        <v>18</v>
      </c>
    </row>
    <row r="15" spans="1:12" x14ac:dyDescent="0.3">
      <c r="A15">
        <v>1014</v>
      </c>
      <c r="B15" t="s">
        <v>16</v>
      </c>
      <c r="C15">
        <v>23</v>
      </c>
      <c r="D15" t="s">
        <v>13</v>
      </c>
      <c r="E15">
        <v>22</v>
      </c>
      <c r="F15">
        <v>89.8</v>
      </c>
      <c r="G15">
        <v>3</v>
      </c>
      <c r="H15">
        <v>1.59</v>
      </c>
      <c r="I15" t="s">
        <v>14</v>
      </c>
      <c r="J15">
        <v>5</v>
      </c>
      <c r="K15">
        <v>5.3</v>
      </c>
      <c r="L15" t="s">
        <v>15</v>
      </c>
    </row>
    <row r="16" spans="1:12" x14ac:dyDescent="0.3">
      <c r="A16">
        <v>1015</v>
      </c>
      <c r="B16" t="s">
        <v>16</v>
      </c>
      <c r="C16">
        <v>24</v>
      </c>
      <c r="D16" t="s">
        <v>13</v>
      </c>
      <c r="E16">
        <v>21</v>
      </c>
      <c r="F16">
        <v>98.6</v>
      </c>
      <c r="G16">
        <v>9</v>
      </c>
      <c r="H16">
        <v>1</v>
      </c>
      <c r="I16" t="s">
        <v>17</v>
      </c>
      <c r="J16">
        <v>3</v>
      </c>
      <c r="K16">
        <v>7.4</v>
      </c>
      <c r="L16" t="s">
        <v>15</v>
      </c>
    </row>
    <row r="17" spans="1:12" x14ac:dyDescent="0.3">
      <c r="A17">
        <v>1016</v>
      </c>
      <c r="B17" t="s">
        <v>12</v>
      </c>
      <c r="C17">
        <v>18</v>
      </c>
      <c r="D17" t="s">
        <v>13</v>
      </c>
      <c r="E17">
        <v>14</v>
      </c>
      <c r="F17">
        <v>97.7</v>
      </c>
      <c r="G17">
        <v>6</v>
      </c>
      <c r="H17">
        <v>1.42</v>
      </c>
      <c r="I17" t="s">
        <v>14</v>
      </c>
      <c r="J17">
        <v>2</v>
      </c>
      <c r="K17">
        <v>7</v>
      </c>
      <c r="L17" t="s">
        <v>18</v>
      </c>
    </row>
    <row r="18" spans="1:12" x14ac:dyDescent="0.3">
      <c r="A18">
        <v>1017</v>
      </c>
      <c r="B18" t="s">
        <v>16</v>
      </c>
      <c r="C18">
        <v>23</v>
      </c>
      <c r="D18" t="s">
        <v>13</v>
      </c>
      <c r="E18">
        <v>14</v>
      </c>
      <c r="F18">
        <v>93.7</v>
      </c>
      <c r="G18">
        <v>9</v>
      </c>
      <c r="H18">
        <v>1.28</v>
      </c>
      <c r="I18" t="s">
        <v>14</v>
      </c>
      <c r="J18">
        <v>2</v>
      </c>
      <c r="K18">
        <v>6.7</v>
      </c>
      <c r="L18" t="s">
        <v>18</v>
      </c>
    </row>
    <row r="19" spans="1:12" x14ac:dyDescent="0.3">
      <c r="A19">
        <v>1018</v>
      </c>
      <c r="B19" t="s">
        <v>16</v>
      </c>
      <c r="C19">
        <v>22</v>
      </c>
      <c r="D19" t="s">
        <v>13</v>
      </c>
      <c r="E19">
        <v>17</v>
      </c>
      <c r="F19">
        <v>80.900000000000006</v>
      </c>
      <c r="G19">
        <v>10</v>
      </c>
      <c r="H19">
        <v>1.2</v>
      </c>
      <c r="I19" t="s">
        <v>14</v>
      </c>
      <c r="J19">
        <v>6</v>
      </c>
      <c r="K19">
        <v>7.6</v>
      </c>
      <c r="L19" t="s">
        <v>18</v>
      </c>
    </row>
    <row r="20" spans="1:12" x14ac:dyDescent="0.3">
      <c r="A20">
        <v>1019</v>
      </c>
      <c r="B20" t="s">
        <v>12</v>
      </c>
      <c r="C20">
        <v>19</v>
      </c>
      <c r="D20" t="s">
        <v>13</v>
      </c>
      <c r="E20">
        <v>21</v>
      </c>
      <c r="F20">
        <v>93.2</v>
      </c>
      <c r="G20">
        <v>5</v>
      </c>
      <c r="H20">
        <v>2.0499999999999998</v>
      </c>
      <c r="I20" t="s">
        <v>19</v>
      </c>
      <c r="J20">
        <v>1</v>
      </c>
      <c r="K20">
        <v>7.2</v>
      </c>
      <c r="L20" t="s">
        <v>15</v>
      </c>
    </row>
    <row r="21" spans="1:12" x14ac:dyDescent="0.3">
      <c r="A21">
        <v>1020</v>
      </c>
      <c r="B21" t="s">
        <v>12</v>
      </c>
      <c r="C21">
        <v>18</v>
      </c>
      <c r="D21" t="s">
        <v>13</v>
      </c>
      <c r="E21">
        <v>5</v>
      </c>
      <c r="F21">
        <v>84.2</v>
      </c>
      <c r="G21">
        <v>6</v>
      </c>
      <c r="H21">
        <v>1.27</v>
      </c>
      <c r="I21" t="s">
        <v>19</v>
      </c>
      <c r="J21">
        <v>9</v>
      </c>
      <c r="K21">
        <v>8.3000000000000007</v>
      </c>
      <c r="L21" t="s">
        <v>15</v>
      </c>
    </row>
    <row r="22" spans="1:12" x14ac:dyDescent="0.3">
      <c r="A22">
        <v>1021</v>
      </c>
      <c r="B22" t="s">
        <v>16</v>
      </c>
      <c r="C22">
        <v>21</v>
      </c>
      <c r="D22" t="s">
        <v>13</v>
      </c>
      <c r="E22">
        <v>23</v>
      </c>
      <c r="F22">
        <v>94.6</v>
      </c>
      <c r="G22">
        <v>7</v>
      </c>
      <c r="H22">
        <v>1.17</v>
      </c>
      <c r="I22" t="s">
        <v>14</v>
      </c>
      <c r="J22">
        <v>8</v>
      </c>
      <c r="K22">
        <v>6.2</v>
      </c>
      <c r="L22" t="s">
        <v>18</v>
      </c>
    </row>
    <row r="23" spans="1:12" x14ac:dyDescent="0.3">
      <c r="A23">
        <v>1022</v>
      </c>
      <c r="B23" t="s">
        <v>16</v>
      </c>
      <c r="C23">
        <v>22</v>
      </c>
      <c r="D23" t="s">
        <v>13</v>
      </c>
      <c r="E23">
        <v>13</v>
      </c>
      <c r="F23">
        <v>90.5</v>
      </c>
      <c r="G23">
        <v>10</v>
      </c>
      <c r="H23">
        <v>0.68</v>
      </c>
      <c r="I23" t="s">
        <v>14</v>
      </c>
      <c r="J23">
        <v>4</v>
      </c>
      <c r="K23">
        <v>8.4</v>
      </c>
      <c r="L23" t="s">
        <v>15</v>
      </c>
    </row>
    <row r="24" spans="1:12" x14ac:dyDescent="0.3">
      <c r="A24">
        <v>1023</v>
      </c>
      <c r="B24" t="s">
        <v>12</v>
      </c>
      <c r="C24">
        <v>22</v>
      </c>
      <c r="D24" t="s">
        <v>13</v>
      </c>
      <c r="E24">
        <v>15</v>
      </c>
      <c r="F24">
        <v>80.5</v>
      </c>
      <c r="G24">
        <v>6</v>
      </c>
      <c r="H24">
        <v>1.54</v>
      </c>
      <c r="I24" t="s">
        <v>19</v>
      </c>
      <c r="J24">
        <v>2</v>
      </c>
      <c r="K24">
        <v>7.7</v>
      </c>
      <c r="L24" t="s">
        <v>18</v>
      </c>
    </row>
    <row r="25" spans="1:12" x14ac:dyDescent="0.3">
      <c r="A25">
        <v>1024</v>
      </c>
      <c r="B25" t="s">
        <v>12</v>
      </c>
      <c r="C25">
        <v>21</v>
      </c>
      <c r="D25" t="s">
        <v>13</v>
      </c>
      <c r="E25">
        <v>15</v>
      </c>
      <c r="F25">
        <v>80.099999999999994</v>
      </c>
      <c r="G25">
        <v>6</v>
      </c>
      <c r="H25">
        <v>1.24</v>
      </c>
      <c r="I25" t="s">
        <v>17</v>
      </c>
      <c r="J25">
        <v>3</v>
      </c>
      <c r="K25">
        <v>8.6</v>
      </c>
      <c r="L25" t="s">
        <v>18</v>
      </c>
    </row>
    <row r="26" spans="1:12" x14ac:dyDescent="0.3">
      <c r="A26">
        <v>1025</v>
      </c>
      <c r="B26" t="s">
        <v>12</v>
      </c>
      <c r="C26">
        <v>18</v>
      </c>
      <c r="D26" t="s">
        <v>13</v>
      </c>
      <c r="E26">
        <v>19</v>
      </c>
      <c r="F26">
        <v>88.6</v>
      </c>
      <c r="G26">
        <v>6</v>
      </c>
      <c r="H26">
        <v>1.35</v>
      </c>
      <c r="I26" t="s">
        <v>19</v>
      </c>
      <c r="J26">
        <v>3</v>
      </c>
      <c r="K26">
        <v>6.3</v>
      </c>
      <c r="L26" t="s">
        <v>18</v>
      </c>
    </row>
    <row r="27" spans="1:12" x14ac:dyDescent="0.3">
      <c r="A27">
        <v>1026</v>
      </c>
      <c r="B27" t="s">
        <v>16</v>
      </c>
      <c r="C27">
        <v>19</v>
      </c>
      <c r="D27" t="s">
        <v>13</v>
      </c>
      <c r="E27">
        <v>12</v>
      </c>
      <c r="F27">
        <v>83.3</v>
      </c>
      <c r="G27">
        <v>10</v>
      </c>
      <c r="H27">
        <v>1.33</v>
      </c>
      <c r="I27" t="s">
        <v>17</v>
      </c>
      <c r="J27">
        <v>7</v>
      </c>
      <c r="K27">
        <v>5.9</v>
      </c>
      <c r="L27" t="s">
        <v>15</v>
      </c>
    </row>
    <row r="28" spans="1:12" x14ac:dyDescent="0.3">
      <c r="A28">
        <v>1027</v>
      </c>
      <c r="B28" t="s">
        <v>16</v>
      </c>
      <c r="C28">
        <v>18</v>
      </c>
      <c r="D28" t="s">
        <v>13</v>
      </c>
      <c r="E28">
        <v>18</v>
      </c>
      <c r="F28">
        <v>86.4</v>
      </c>
      <c r="G28">
        <v>10</v>
      </c>
      <c r="H28">
        <v>1.32</v>
      </c>
      <c r="I28" t="s">
        <v>14</v>
      </c>
      <c r="J28">
        <v>4</v>
      </c>
      <c r="K28">
        <v>6.6</v>
      </c>
      <c r="L28" t="s">
        <v>18</v>
      </c>
    </row>
    <row r="29" spans="1:12" x14ac:dyDescent="0.3">
      <c r="A29">
        <v>1028</v>
      </c>
      <c r="B29" t="s">
        <v>16</v>
      </c>
      <c r="C29">
        <v>24</v>
      </c>
      <c r="D29" t="s">
        <v>13</v>
      </c>
      <c r="E29">
        <v>19</v>
      </c>
      <c r="F29">
        <v>81.5</v>
      </c>
      <c r="G29">
        <v>8</v>
      </c>
      <c r="H29">
        <v>1.82</v>
      </c>
      <c r="I29" t="s">
        <v>19</v>
      </c>
      <c r="J29">
        <v>1</v>
      </c>
      <c r="K29">
        <v>8.3000000000000007</v>
      </c>
      <c r="L29" t="s">
        <v>15</v>
      </c>
    </row>
    <row r="30" spans="1:12" x14ac:dyDescent="0.3">
      <c r="A30">
        <v>1029</v>
      </c>
      <c r="B30" t="s">
        <v>16</v>
      </c>
      <c r="C30">
        <v>18</v>
      </c>
      <c r="D30" t="s">
        <v>13</v>
      </c>
      <c r="E30">
        <v>13</v>
      </c>
      <c r="F30">
        <v>94.4</v>
      </c>
      <c r="G30">
        <v>5</v>
      </c>
      <c r="H30">
        <v>1.07</v>
      </c>
      <c r="I30" t="s">
        <v>17</v>
      </c>
      <c r="J30">
        <v>5</v>
      </c>
      <c r="K30">
        <v>7.1</v>
      </c>
      <c r="L30" t="s">
        <v>18</v>
      </c>
    </row>
    <row r="31" spans="1:12" x14ac:dyDescent="0.3">
      <c r="A31">
        <v>1030</v>
      </c>
      <c r="B31" t="s">
        <v>16</v>
      </c>
      <c r="C31">
        <v>22</v>
      </c>
      <c r="D31" t="s">
        <v>13</v>
      </c>
      <c r="E31">
        <v>20</v>
      </c>
      <c r="F31">
        <v>97.2</v>
      </c>
      <c r="G31">
        <v>10</v>
      </c>
      <c r="H31">
        <v>1.23</v>
      </c>
      <c r="I31" t="s">
        <v>19</v>
      </c>
      <c r="J31">
        <v>4</v>
      </c>
      <c r="K31">
        <v>6.2</v>
      </c>
      <c r="L31" t="s">
        <v>15</v>
      </c>
    </row>
    <row r="32" spans="1:12" x14ac:dyDescent="0.3">
      <c r="A32">
        <v>1031</v>
      </c>
      <c r="B32" t="s">
        <v>16</v>
      </c>
      <c r="C32">
        <v>19</v>
      </c>
      <c r="D32" t="s">
        <v>13</v>
      </c>
      <c r="E32">
        <v>17</v>
      </c>
      <c r="F32">
        <v>81.400000000000006</v>
      </c>
      <c r="G32">
        <v>8</v>
      </c>
      <c r="H32">
        <v>1.17</v>
      </c>
      <c r="I32" t="s">
        <v>14</v>
      </c>
      <c r="J32">
        <v>6</v>
      </c>
      <c r="K32">
        <v>7</v>
      </c>
      <c r="L32" t="s">
        <v>18</v>
      </c>
    </row>
    <row r="33" spans="1:12" x14ac:dyDescent="0.3">
      <c r="A33">
        <v>1032</v>
      </c>
      <c r="B33" t="s">
        <v>16</v>
      </c>
      <c r="C33">
        <v>23</v>
      </c>
      <c r="D33" t="s">
        <v>13</v>
      </c>
      <c r="E33">
        <v>15</v>
      </c>
      <c r="F33">
        <v>100</v>
      </c>
      <c r="G33">
        <v>10</v>
      </c>
      <c r="H33">
        <v>1.42</v>
      </c>
      <c r="I33" t="s">
        <v>14</v>
      </c>
      <c r="J33">
        <v>3</v>
      </c>
      <c r="K33">
        <v>5.9</v>
      </c>
      <c r="L33" t="s">
        <v>18</v>
      </c>
    </row>
    <row r="34" spans="1:12" x14ac:dyDescent="0.3">
      <c r="A34">
        <v>1033</v>
      </c>
      <c r="B34" t="s">
        <v>16</v>
      </c>
      <c r="C34">
        <v>21</v>
      </c>
      <c r="D34" t="s">
        <v>13</v>
      </c>
      <c r="E34">
        <v>2</v>
      </c>
      <c r="F34">
        <v>83.8</v>
      </c>
      <c r="G34">
        <v>10</v>
      </c>
      <c r="H34">
        <v>1.1000000000000001</v>
      </c>
      <c r="I34" t="s">
        <v>19</v>
      </c>
      <c r="J34">
        <v>7</v>
      </c>
      <c r="K34">
        <v>7.2</v>
      </c>
      <c r="L34" t="s">
        <v>18</v>
      </c>
    </row>
    <row r="35" spans="1:12" x14ac:dyDescent="0.3">
      <c r="A35">
        <v>1034</v>
      </c>
      <c r="B35" t="s">
        <v>12</v>
      </c>
      <c r="C35">
        <v>20</v>
      </c>
      <c r="D35" t="s">
        <v>13</v>
      </c>
      <c r="E35">
        <v>14</v>
      </c>
      <c r="F35">
        <v>87.4</v>
      </c>
      <c r="G35">
        <v>10</v>
      </c>
      <c r="H35">
        <v>1.07</v>
      </c>
      <c r="I35" t="s">
        <v>17</v>
      </c>
      <c r="J35">
        <v>5</v>
      </c>
      <c r="K35">
        <v>6.8</v>
      </c>
      <c r="L35" t="s">
        <v>15</v>
      </c>
    </row>
    <row r="36" spans="1:12" x14ac:dyDescent="0.3">
      <c r="A36">
        <v>1035</v>
      </c>
      <c r="B36" t="s">
        <v>12</v>
      </c>
      <c r="C36">
        <v>23</v>
      </c>
      <c r="D36" t="s">
        <v>13</v>
      </c>
      <c r="E36">
        <v>24</v>
      </c>
      <c r="F36">
        <v>90.5</v>
      </c>
      <c r="G36">
        <v>10</v>
      </c>
      <c r="H36">
        <v>1.48</v>
      </c>
      <c r="I36" t="s">
        <v>14</v>
      </c>
      <c r="J36">
        <v>3</v>
      </c>
      <c r="K36">
        <v>8.1</v>
      </c>
      <c r="L36" t="s">
        <v>15</v>
      </c>
    </row>
    <row r="37" spans="1:12" x14ac:dyDescent="0.3">
      <c r="A37">
        <v>1036</v>
      </c>
      <c r="B37" t="s">
        <v>16</v>
      </c>
      <c r="C37">
        <v>18</v>
      </c>
      <c r="D37" t="s">
        <v>13</v>
      </c>
      <c r="E37">
        <v>16</v>
      </c>
      <c r="F37">
        <v>97.4</v>
      </c>
      <c r="G37">
        <v>6</v>
      </c>
      <c r="H37">
        <v>1.31</v>
      </c>
      <c r="I37" t="s">
        <v>14</v>
      </c>
      <c r="J37">
        <v>7</v>
      </c>
      <c r="K37">
        <v>7.4</v>
      </c>
      <c r="L37" t="s">
        <v>18</v>
      </c>
    </row>
    <row r="38" spans="1:12" x14ac:dyDescent="0.3">
      <c r="A38">
        <v>1037</v>
      </c>
      <c r="B38" t="s">
        <v>12</v>
      </c>
      <c r="C38">
        <v>19</v>
      </c>
      <c r="D38" t="s">
        <v>13</v>
      </c>
      <c r="E38">
        <v>12</v>
      </c>
      <c r="F38">
        <v>85.3</v>
      </c>
      <c r="G38">
        <v>6</v>
      </c>
      <c r="H38">
        <v>1.54</v>
      </c>
      <c r="I38" t="s">
        <v>19</v>
      </c>
      <c r="J38">
        <v>5</v>
      </c>
      <c r="K38">
        <v>8.1</v>
      </c>
      <c r="L38" t="s">
        <v>18</v>
      </c>
    </row>
    <row r="39" spans="1:12" x14ac:dyDescent="0.3">
      <c r="A39">
        <v>1038</v>
      </c>
      <c r="B39" t="s">
        <v>16</v>
      </c>
      <c r="C39">
        <v>19</v>
      </c>
      <c r="D39" t="s">
        <v>13</v>
      </c>
      <c r="E39">
        <v>7</v>
      </c>
      <c r="F39">
        <v>74.400000000000006</v>
      </c>
      <c r="G39">
        <v>7</v>
      </c>
      <c r="H39">
        <v>0.87</v>
      </c>
      <c r="I39" t="s">
        <v>17</v>
      </c>
      <c r="J39">
        <v>5</v>
      </c>
      <c r="K39">
        <v>5.6</v>
      </c>
      <c r="L39" t="s">
        <v>18</v>
      </c>
    </row>
    <row r="40" spans="1:12" x14ac:dyDescent="0.3">
      <c r="A40">
        <v>1039</v>
      </c>
      <c r="B40" t="s">
        <v>12</v>
      </c>
      <c r="C40">
        <v>24</v>
      </c>
      <c r="D40" t="s">
        <v>13</v>
      </c>
      <c r="E40">
        <v>12</v>
      </c>
      <c r="F40">
        <v>79.5</v>
      </c>
      <c r="G40">
        <v>6</v>
      </c>
      <c r="H40">
        <v>0.79</v>
      </c>
      <c r="I40" t="s">
        <v>19</v>
      </c>
      <c r="J40">
        <v>3</v>
      </c>
      <c r="K40">
        <v>5.0999999999999996</v>
      </c>
      <c r="L40" t="s">
        <v>15</v>
      </c>
    </row>
    <row r="41" spans="1:12" x14ac:dyDescent="0.3">
      <c r="A41">
        <v>1040</v>
      </c>
      <c r="B41" t="s">
        <v>16</v>
      </c>
      <c r="C41">
        <v>24</v>
      </c>
      <c r="D41" t="s">
        <v>13</v>
      </c>
      <c r="E41">
        <v>14</v>
      </c>
      <c r="F41">
        <v>88.5</v>
      </c>
      <c r="G41">
        <v>7</v>
      </c>
      <c r="H41">
        <v>0.48</v>
      </c>
      <c r="I41" t="s">
        <v>19</v>
      </c>
      <c r="J41">
        <v>6</v>
      </c>
      <c r="K41">
        <v>5.9</v>
      </c>
      <c r="L41" t="s">
        <v>15</v>
      </c>
    </row>
    <row r="42" spans="1:12" x14ac:dyDescent="0.3">
      <c r="A42">
        <v>1041</v>
      </c>
      <c r="B42" t="s">
        <v>16</v>
      </c>
      <c r="C42">
        <v>19</v>
      </c>
      <c r="D42" t="s">
        <v>13</v>
      </c>
      <c r="E42">
        <v>11</v>
      </c>
      <c r="F42">
        <v>92.6</v>
      </c>
      <c r="G42">
        <v>7</v>
      </c>
      <c r="H42">
        <v>1.4</v>
      </c>
      <c r="I42" t="s">
        <v>14</v>
      </c>
      <c r="J42">
        <v>3</v>
      </c>
      <c r="K42">
        <v>6.5</v>
      </c>
      <c r="L42" t="s">
        <v>18</v>
      </c>
    </row>
    <row r="43" spans="1:12" x14ac:dyDescent="0.3">
      <c r="A43">
        <v>1042</v>
      </c>
      <c r="B43" t="s">
        <v>16</v>
      </c>
      <c r="C43">
        <v>18</v>
      </c>
      <c r="D43" t="s">
        <v>13</v>
      </c>
      <c r="E43">
        <v>21</v>
      </c>
      <c r="F43">
        <v>80.2</v>
      </c>
      <c r="G43">
        <v>5</v>
      </c>
      <c r="H43">
        <v>1.25</v>
      </c>
      <c r="I43" t="s">
        <v>14</v>
      </c>
      <c r="J43">
        <v>2</v>
      </c>
      <c r="K43">
        <v>5.8</v>
      </c>
      <c r="L43" t="s">
        <v>15</v>
      </c>
    </row>
    <row r="44" spans="1:12" x14ac:dyDescent="0.3">
      <c r="A44">
        <v>1043</v>
      </c>
      <c r="B44" t="s">
        <v>16</v>
      </c>
      <c r="C44">
        <v>24</v>
      </c>
      <c r="D44" t="s">
        <v>13</v>
      </c>
      <c r="E44">
        <v>10</v>
      </c>
      <c r="F44">
        <v>85.2</v>
      </c>
      <c r="G44">
        <v>10</v>
      </c>
      <c r="H44">
        <v>0.79</v>
      </c>
      <c r="I44" t="s">
        <v>17</v>
      </c>
      <c r="J44">
        <v>2</v>
      </c>
      <c r="K44">
        <v>7.4</v>
      </c>
      <c r="L44" t="s">
        <v>15</v>
      </c>
    </row>
    <row r="45" spans="1:12" x14ac:dyDescent="0.3">
      <c r="A45">
        <v>1044</v>
      </c>
      <c r="B45" t="s">
        <v>16</v>
      </c>
      <c r="C45">
        <v>19</v>
      </c>
      <c r="D45" t="s">
        <v>13</v>
      </c>
      <c r="E45">
        <v>26</v>
      </c>
      <c r="F45">
        <v>76.8</v>
      </c>
      <c r="G45">
        <v>4</v>
      </c>
      <c r="H45">
        <v>1.46</v>
      </c>
      <c r="I45" t="s">
        <v>14</v>
      </c>
      <c r="J45">
        <v>3</v>
      </c>
      <c r="K45">
        <v>6</v>
      </c>
      <c r="L45" t="s">
        <v>18</v>
      </c>
    </row>
    <row r="46" spans="1:12" x14ac:dyDescent="0.3">
      <c r="A46">
        <v>1045</v>
      </c>
      <c r="B46" t="s">
        <v>16</v>
      </c>
      <c r="C46">
        <v>19</v>
      </c>
      <c r="D46" t="s">
        <v>13</v>
      </c>
      <c r="E46">
        <v>4</v>
      </c>
      <c r="F46">
        <v>93.5</v>
      </c>
      <c r="G46">
        <v>10</v>
      </c>
      <c r="H46">
        <v>1.29</v>
      </c>
      <c r="I46" t="s">
        <v>17</v>
      </c>
      <c r="J46">
        <v>3</v>
      </c>
      <c r="K46">
        <v>5.9</v>
      </c>
      <c r="L46" t="s">
        <v>18</v>
      </c>
    </row>
    <row r="47" spans="1:12" x14ac:dyDescent="0.3">
      <c r="A47">
        <v>1046</v>
      </c>
      <c r="B47" t="s">
        <v>12</v>
      </c>
      <c r="C47">
        <v>23</v>
      </c>
      <c r="D47" t="s">
        <v>13</v>
      </c>
      <c r="E47">
        <v>9</v>
      </c>
      <c r="F47">
        <v>90.2</v>
      </c>
      <c r="G47">
        <v>6</v>
      </c>
      <c r="H47">
        <v>0.26</v>
      </c>
      <c r="I47" t="s">
        <v>19</v>
      </c>
      <c r="J47">
        <v>3</v>
      </c>
      <c r="K47">
        <v>6.5</v>
      </c>
      <c r="L47" t="s">
        <v>18</v>
      </c>
    </row>
    <row r="48" spans="1:12" x14ac:dyDescent="0.3">
      <c r="A48">
        <v>1047</v>
      </c>
      <c r="B48" t="s">
        <v>12</v>
      </c>
      <c r="C48">
        <v>18</v>
      </c>
      <c r="D48" t="s">
        <v>13</v>
      </c>
      <c r="E48">
        <v>10</v>
      </c>
      <c r="F48">
        <v>84.9</v>
      </c>
      <c r="G48">
        <v>9</v>
      </c>
      <c r="H48">
        <v>1.22</v>
      </c>
      <c r="I48" t="s">
        <v>14</v>
      </c>
      <c r="J48">
        <v>4</v>
      </c>
      <c r="K48">
        <v>6.9</v>
      </c>
      <c r="L48" t="s">
        <v>15</v>
      </c>
    </row>
    <row r="49" spans="1:12" x14ac:dyDescent="0.3">
      <c r="A49">
        <v>1048</v>
      </c>
      <c r="B49" t="s">
        <v>12</v>
      </c>
      <c r="C49">
        <v>22</v>
      </c>
      <c r="D49" t="s">
        <v>13</v>
      </c>
      <c r="E49">
        <v>11</v>
      </c>
      <c r="F49">
        <v>88.7</v>
      </c>
      <c r="G49">
        <v>6</v>
      </c>
      <c r="H49">
        <v>1.06</v>
      </c>
      <c r="I49" t="s">
        <v>14</v>
      </c>
      <c r="J49">
        <v>6</v>
      </c>
      <c r="K49">
        <v>7.5</v>
      </c>
      <c r="L49" t="s">
        <v>15</v>
      </c>
    </row>
    <row r="50" spans="1:12" x14ac:dyDescent="0.3">
      <c r="A50">
        <v>1049</v>
      </c>
      <c r="B50" t="s">
        <v>12</v>
      </c>
      <c r="C50">
        <v>19</v>
      </c>
      <c r="D50" t="s">
        <v>13</v>
      </c>
      <c r="E50">
        <v>2</v>
      </c>
      <c r="F50">
        <v>90.9</v>
      </c>
      <c r="G50">
        <v>10</v>
      </c>
      <c r="H50">
        <v>1.22</v>
      </c>
      <c r="I50" t="s">
        <v>17</v>
      </c>
      <c r="J50">
        <v>5</v>
      </c>
      <c r="K50">
        <v>5.6</v>
      </c>
      <c r="L50" t="s">
        <v>15</v>
      </c>
    </row>
    <row r="51" spans="1:12" x14ac:dyDescent="0.3">
      <c r="A51">
        <v>1050</v>
      </c>
      <c r="B51" t="s">
        <v>12</v>
      </c>
      <c r="C51">
        <v>22</v>
      </c>
      <c r="D51" t="s">
        <v>13</v>
      </c>
      <c r="E51">
        <v>17</v>
      </c>
      <c r="F51">
        <v>89.3</v>
      </c>
      <c r="G51">
        <v>9</v>
      </c>
      <c r="H51">
        <v>1.4</v>
      </c>
      <c r="I51" t="s">
        <v>14</v>
      </c>
      <c r="J51">
        <v>8</v>
      </c>
      <c r="K51">
        <v>6.9</v>
      </c>
      <c r="L51" t="s">
        <v>15</v>
      </c>
    </row>
    <row r="52" spans="1:12" x14ac:dyDescent="0.3">
      <c r="A52">
        <v>1051</v>
      </c>
      <c r="B52" t="s">
        <v>12</v>
      </c>
      <c r="C52">
        <v>22</v>
      </c>
      <c r="D52" t="s">
        <v>13</v>
      </c>
      <c r="E52">
        <v>13</v>
      </c>
      <c r="F52">
        <v>94.6</v>
      </c>
      <c r="G52">
        <v>7</v>
      </c>
      <c r="H52">
        <v>1.5</v>
      </c>
      <c r="I52" t="s">
        <v>14</v>
      </c>
      <c r="J52">
        <v>6</v>
      </c>
      <c r="K52">
        <v>7.9</v>
      </c>
      <c r="L52" t="s">
        <v>18</v>
      </c>
    </row>
    <row r="53" spans="1:12" x14ac:dyDescent="0.3">
      <c r="A53">
        <v>1052</v>
      </c>
      <c r="B53" t="s">
        <v>12</v>
      </c>
      <c r="C53">
        <v>23</v>
      </c>
      <c r="D53" t="s">
        <v>13</v>
      </c>
      <c r="E53">
        <v>21</v>
      </c>
      <c r="F53">
        <v>74.900000000000006</v>
      </c>
      <c r="G53">
        <v>9</v>
      </c>
      <c r="H53">
        <v>1.25</v>
      </c>
      <c r="I53" t="s">
        <v>14</v>
      </c>
      <c r="J53">
        <v>4</v>
      </c>
      <c r="K53">
        <v>6.5</v>
      </c>
      <c r="L53" t="s">
        <v>18</v>
      </c>
    </row>
    <row r="54" spans="1:12" x14ac:dyDescent="0.3">
      <c r="A54">
        <v>1053</v>
      </c>
      <c r="B54" t="s">
        <v>16</v>
      </c>
      <c r="C54">
        <v>20</v>
      </c>
      <c r="D54" t="s">
        <v>13</v>
      </c>
      <c r="E54">
        <v>26</v>
      </c>
      <c r="F54">
        <v>92.7</v>
      </c>
      <c r="G54">
        <v>10</v>
      </c>
      <c r="H54">
        <v>2.21</v>
      </c>
      <c r="I54" t="s">
        <v>14</v>
      </c>
      <c r="J54">
        <v>6</v>
      </c>
      <c r="K54">
        <v>5.9</v>
      </c>
      <c r="L54" t="s">
        <v>15</v>
      </c>
    </row>
    <row r="55" spans="1:12" x14ac:dyDescent="0.3">
      <c r="A55">
        <v>1054</v>
      </c>
      <c r="B55" t="s">
        <v>16</v>
      </c>
      <c r="C55">
        <v>22</v>
      </c>
      <c r="D55" t="s">
        <v>13</v>
      </c>
      <c r="E55">
        <v>14</v>
      </c>
      <c r="F55">
        <v>96.6</v>
      </c>
      <c r="G55">
        <v>3</v>
      </c>
      <c r="H55">
        <v>1.07</v>
      </c>
      <c r="I55" t="s">
        <v>19</v>
      </c>
      <c r="J55">
        <v>4</v>
      </c>
      <c r="K55">
        <v>7.1</v>
      </c>
      <c r="L55" t="s">
        <v>15</v>
      </c>
    </row>
    <row r="56" spans="1:12" x14ac:dyDescent="0.3">
      <c r="A56">
        <v>1055</v>
      </c>
      <c r="B56" t="s">
        <v>16</v>
      </c>
      <c r="C56">
        <v>19</v>
      </c>
      <c r="D56" t="s">
        <v>13</v>
      </c>
      <c r="E56">
        <v>23</v>
      </c>
      <c r="F56">
        <v>81.5</v>
      </c>
      <c r="G56">
        <v>6</v>
      </c>
      <c r="H56">
        <v>1.21</v>
      </c>
      <c r="I56" t="s">
        <v>19</v>
      </c>
      <c r="J56">
        <v>6</v>
      </c>
      <c r="K56">
        <v>8.3000000000000007</v>
      </c>
      <c r="L56" t="s">
        <v>15</v>
      </c>
    </row>
    <row r="57" spans="1:12" x14ac:dyDescent="0.3">
      <c r="A57">
        <v>1056</v>
      </c>
      <c r="B57" t="s">
        <v>12</v>
      </c>
      <c r="C57">
        <v>19</v>
      </c>
      <c r="D57" t="s">
        <v>13</v>
      </c>
      <c r="E57">
        <v>22</v>
      </c>
      <c r="F57">
        <v>85.8</v>
      </c>
      <c r="G57">
        <v>6</v>
      </c>
      <c r="H57">
        <v>0.97</v>
      </c>
      <c r="I57" t="s">
        <v>14</v>
      </c>
      <c r="J57">
        <v>4</v>
      </c>
      <c r="K57">
        <v>6.7</v>
      </c>
      <c r="L57" t="s">
        <v>18</v>
      </c>
    </row>
    <row r="58" spans="1:12" x14ac:dyDescent="0.3">
      <c r="A58">
        <v>1057</v>
      </c>
      <c r="B58" t="s">
        <v>16</v>
      </c>
      <c r="C58">
        <v>23</v>
      </c>
      <c r="D58" t="s">
        <v>13</v>
      </c>
      <c r="E58">
        <v>30</v>
      </c>
      <c r="F58">
        <v>79.099999999999994</v>
      </c>
      <c r="G58">
        <v>7</v>
      </c>
      <c r="H58">
        <v>1.48</v>
      </c>
      <c r="I58" t="s">
        <v>19</v>
      </c>
      <c r="J58">
        <v>4</v>
      </c>
      <c r="K58">
        <v>6.4</v>
      </c>
      <c r="L58" t="s">
        <v>18</v>
      </c>
    </row>
    <row r="59" spans="1:12" x14ac:dyDescent="0.3">
      <c r="A59">
        <v>1058</v>
      </c>
      <c r="B59" t="s">
        <v>12</v>
      </c>
      <c r="C59">
        <v>19</v>
      </c>
      <c r="D59" t="s">
        <v>13</v>
      </c>
      <c r="E59">
        <v>18</v>
      </c>
      <c r="F59">
        <v>94.7</v>
      </c>
      <c r="G59">
        <v>5</v>
      </c>
      <c r="H59">
        <v>0.91</v>
      </c>
      <c r="I59" t="s">
        <v>14</v>
      </c>
      <c r="J59">
        <v>3</v>
      </c>
      <c r="K59">
        <v>5.8</v>
      </c>
      <c r="L59" t="s">
        <v>15</v>
      </c>
    </row>
    <row r="60" spans="1:12" x14ac:dyDescent="0.3">
      <c r="A60">
        <v>1059</v>
      </c>
      <c r="B60" t="s">
        <v>12</v>
      </c>
      <c r="C60">
        <v>20</v>
      </c>
      <c r="D60" t="s">
        <v>13</v>
      </c>
      <c r="E60">
        <v>16</v>
      </c>
      <c r="F60">
        <v>87</v>
      </c>
      <c r="G60">
        <v>8</v>
      </c>
      <c r="H60">
        <v>0.87</v>
      </c>
      <c r="I60" t="s">
        <v>14</v>
      </c>
      <c r="J60">
        <v>6</v>
      </c>
      <c r="K60">
        <v>7.1</v>
      </c>
      <c r="L60" t="s">
        <v>18</v>
      </c>
    </row>
    <row r="61" spans="1:12" x14ac:dyDescent="0.3">
      <c r="A61">
        <v>1060</v>
      </c>
      <c r="B61" t="s">
        <v>16</v>
      </c>
      <c r="C61">
        <v>20</v>
      </c>
      <c r="D61" t="s">
        <v>13</v>
      </c>
      <c r="E61">
        <v>13</v>
      </c>
      <c r="F61">
        <v>90.6</v>
      </c>
      <c r="G61">
        <v>10</v>
      </c>
      <c r="H61">
        <v>0.79</v>
      </c>
      <c r="I61" t="s">
        <v>14</v>
      </c>
      <c r="J61">
        <v>1</v>
      </c>
      <c r="K61">
        <v>6</v>
      </c>
      <c r="L61" t="s">
        <v>18</v>
      </c>
    </row>
    <row r="62" spans="1:12" x14ac:dyDescent="0.3">
      <c r="A62">
        <v>1061</v>
      </c>
      <c r="B62" t="s">
        <v>12</v>
      </c>
      <c r="C62">
        <v>21</v>
      </c>
      <c r="D62" t="s">
        <v>13</v>
      </c>
      <c r="E62">
        <v>21</v>
      </c>
      <c r="F62">
        <v>87.8</v>
      </c>
      <c r="G62">
        <v>6</v>
      </c>
      <c r="H62">
        <v>1.35</v>
      </c>
      <c r="I62" t="s">
        <v>19</v>
      </c>
      <c r="J62">
        <v>4</v>
      </c>
      <c r="K62">
        <v>6.5</v>
      </c>
      <c r="L62" t="s">
        <v>15</v>
      </c>
    </row>
    <row r="63" spans="1:12" x14ac:dyDescent="0.3">
      <c r="A63">
        <v>1062</v>
      </c>
      <c r="B63" t="s">
        <v>16</v>
      </c>
      <c r="C63">
        <v>23</v>
      </c>
      <c r="D63" t="s">
        <v>13</v>
      </c>
      <c r="E63">
        <v>17</v>
      </c>
      <c r="F63">
        <v>83.7</v>
      </c>
      <c r="G63">
        <v>4</v>
      </c>
      <c r="H63">
        <v>0.94</v>
      </c>
      <c r="I63" t="s">
        <v>19</v>
      </c>
      <c r="J63">
        <v>9</v>
      </c>
      <c r="K63">
        <v>7.2</v>
      </c>
      <c r="L63" t="s">
        <v>15</v>
      </c>
    </row>
    <row r="64" spans="1:12" x14ac:dyDescent="0.3">
      <c r="A64">
        <v>1063</v>
      </c>
      <c r="B64" t="s">
        <v>16</v>
      </c>
      <c r="C64">
        <v>21</v>
      </c>
      <c r="D64" t="s">
        <v>13</v>
      </c>
      <c r="E64">
        <v>12</v>
      </c>
      <c r="F64">
        <v>92.2</v>
      </c>
      <c r="G64">
        <v>6</v>
      </c>
      <c r="H64">
        <v>0.61</v>
      </c>
      <c r="I64" t="s">
        <v>14</v>
      </c>
      <c r="J64">
        <v>2</v>
      </c>
      <c r="K64">
        <v>5.9</v>
      </c>
      <c r="L64" t="s">
        <v>15</v>
      </c>
    </row>
    <row r="65" spans="1:12" x14ac:dyDescent="0.3">
      <c r="A65">
        <v>1064</v>
      </c>
      <c r="B65" t="s">
        <v>16</v>
      </c>
      <c r="C65">
        <v>22</v>
      </c>
      <c r="D65" t="s">
        <v>13</v>
      </c>
      <c r="E65">
        <v>15</v>
      </c>
      <c r="F65">
        <v>92.1</v>
      </c>
      <c r="G65">
        <v>7</v>
      </c>
      <c r="H65">
        <v>1</v>
      </c>
      <c r="I65" t="s">
        <v>17</v>
      </c>
      <c r="J65">
        <v>3</v>
      </c>
      <c r="K65">
        <v>9</v>
      </c>
      <c r="L65" t="s">
        <v>18</v>
      </c>
    </row>
    <row r="66" spans="1:12" x14ac:dyDescent="0.3">
      <c r="A66">
        <v>1065</v>
      </c>
      <c r="B66" t="s">
        <v>12</v>
      </c>
      <c r="C66">
        <v>19</v>
      </c>
      <c r="D66" t="s">
        <v>13</v>
      </c>
      <c r="E66">
        <v>18</v>
      </c>
      <c r="F66">
        <v>89.5</v>
      </c>
      <c r="G66">
        <v>5</v>
      </c>
      <c r="H66">
        <v>2.02</v>
      </c>
      <c r="I66" t="s">
        <v>17</v>
      </c>
      <c r="J66">
        <v>4</v>
      </c>
      <c r="K66">
        <v>7.6</v>
      </c>
      <c r="L66" t="s">
        <v>18</v>
      </c>
    </row>
    <row r="67" spans="1:12" x14ac:dyDescent="0.3">
      <c r="A67">
        <v>1066</v>
      </c>
      <c r="B67" t="s">
        <v>16</v>
      </c>
      <c r="C67">
        <v>19</v>
      </c>
      <c r="D67" t="s">
        <v>13</v>
      </c>
      <c r="E67">
        <v>11</v>
      </c>
      <c r="F67">
        <v>87.7</v>
      </c>
      <c r="G67">
        <v>9</v>
      </c>
      <c r="H67">
        <v>1.63</v>
      </c>
      <c r="I67" t="s">
        <v>14</v>
      </c>
      <c r="J67">
        <v>4</v>
      </c>
      <c r="K67">
        <v>7.1</v>
      </c>
      <c r="L67" t="s">
        <v>15</v>
      </c>
    </row>
    <row r="68" spans="1:12" x14ac:dyDescent="0.3">
      <c r="A68">
        <v>1067</v>
      </c>
      <c r="B68" t="s">
        <v>16</v>
      </c>
      <c r="C68">
        <v>24</v>
      </c>
      <c r="D68" t="s">
        <v>13</v>
      </c>
      <c r="E68">
        <v>16</v>
      </c>
      <c r="F68">
        <v>77.3</v>
      </c>
      <c r="G68">
        <v>10</v>
      </c>
      <c r="H68">
        <v>1.22</v>
      </c>
      <c r="I68" t="s">
        <v>14</v>
      </c>
      <c r="J68">
        <v>5</v>
      </c>
      <c r="K68">
        <v>6.8</v>
      </c>
      <c r="L68" t="s">
        <v>15</v>
      </c>
    </row>
    <row r="69" spans="1:12" x14ac:dyDescent="0.3">
      <c r="A69">
        <v>1068</v>
      </c>
      <c r="B69" t="s">
        <v>16</v>
      </c>
      <c r="C69">
        <v>24</v>
      </c>
      <c r="D69" t="s">
        <v>13</v>
      </c>
      <c r="E69">
        <v>7</v>
      </c>
      <c r="F69">
        <v>79.400000000000006</v>
      </c>
      <c r="G69">
        <v>10</v>
      </c>
      <c r="H69">
        <v>1.25</v>
      </c>
      <c r="I69" t="s">
        <v>19</v>
      </c>
      <c r="J69">
        <v>5</v>
      </c>
      <c r="K69">
        <v>6</v>
      </c>
      <c r="L69" t="s">
        <v>18</v>
      </c>
    </row>
    <row r="70" spans="1:12" x14ac:dyDescent="0.3">
      <c r="A70">
        <v>1069</v>
      </c>
      <c r="B70" t="s">
        <v>16</v>
      </c>
      <c r="C70">
        <v>20</v>
      </c>
      <c r="D70" t="s">
        <v>13</v>
      </c>
      <c r="E70">
        <v>23</v>
      </c>
      <c r="F70">
        <v>80.8</v>
      </c>
      <c r="G70">
        <v>8</v>
      </c>
      <c r="H70">
        <v>1.48</v>
      </c>
      <c r="I70" t="s">
        <v>19</v>
      </c>
      <c r="J70">
        <v>5</v>
      </c>
      <c r="K70">
        <v>7.7</v>
      </c>
      <c r="L70" t="s">
        <v>18</v>
      </c>
    </row>
    <row r="71" spans="1:12" x14ac:dyDescent="0.3">
      <c r="A71">
        <v>1070</v>
      </c>
      <c r="B71" t="s">
        <v>16</v>
      </c>
      <c r="C71">
        <v>24</v>
      </c>
      <c r="D71" t="s">
        <v>13</v>
      </c>
      <c r="E71">
        <v>11</v>
      </c>
      <c r="F71">
        <v>83.9</v>
      </c>
      <c r="G71">
        <v>10</v>
      </c>
      <c r="H71">
        <v>0.31</v>
      </c>
      <c r="I71" t="s">
        <v>14</v>
      </c>
      <c r="J71">
        <v>2</v>
      </c>
      <c r="K71">
        <v>5.7</v>
      </c>
      <c r="L71" t="s">
        <v>15</v>
      </c>
    </row>
    <row r="72" spans="1:12" x14ac:dyDescent="0.3">
      <c r="A72">
        <v>1071</v>
      </c>
      <c r="B72" t="s">
        <v>12</v>
      </c>
      <c r="C72">
        <v>24</v>
      </c>
      <c r="D72" t="s">
        <v>13</v>
      </c>
      <c r="E72">
        <v>15</v>
      </c>
      <c r="F72">
        <v>89.9</v>
      </c>
      <c r="G72">
        <v>10</v>
      </c>
      <c r="H72">
        <v>1.25</v>
      </c>
      <c r="I72" t="s">
        <v>17</v>
      </c>
      <c r="J72">
        <v>5</v>
      </c>
      <c r="K72">
        <v>6.8</v>
      </c>
      <c r="L72" t="s">
        <v>18</v>
      </c>
    </row>
    <row r="73" spans="1:12" x14ac:dyDescent="0.3">
      <c r="A73">
        <v>1072</v>
      </c>
      <c r="B73" t="s">
        <v>16</v>
      </c>
      <c r="C73">
        <v>21</v>
      </c>
      <c r="D73" t="s">
        <v>13</v>
      </c>
      <c r="E73">
        <v>30</v>
      </c>
      <c r="F73">
        <v>82.9</v>
      </c>
      <c r="G73">
        <v>9</v>
      </c>
      <c r="H73">
        <v>1.27</v>
      </c>
      <c r="I73" t="s">
        <v>14</v>
      </c>
      <c r="J73">
        <v>7</v>
      </c>
      <c r="K73">
        <v>5.9</v>
      </c>
      <c r="L73" t="s">
        <v>15</v>
      </c>
    </row>
    <row r="74" spans="1:12" x14ac:dyDescent="0.3">
      <c r="A74">
        <v>1073</v>
      </c>
      <c r="B74" t="s">
        <v>16</v>
      </c>
      <c r="C74">
        <v>21</v>
      </c>
      <c r="D74" t="s">
        <v>13</v>
      </c>
      <c r="E74">
        <v>10</v>
      </c>
      <c r="F74">
        <v>91.8</v>
      </c>
      <c r="G74">
        <v>8</v>
      </c>
      <c r="H74">
        <v>1.28</v>
      </c>
      <c r="I74" t="s">
        <v>14</v>
      </c>
      <c r="J74">
        <v>7</v>
      </c>
      <c r="K74">
        <v>5.6</v>
      </c>
      <c r="L74" t="s">
        <v>15</v>
      </c>
    </row>
    <row r="75" spans="1:12" x14ac:dyDescent="0.3">
      <c r="A75">
        <v>1074</v>
      </c>
      <c r="B75" t="s">
        <v>12</v>
      </c>
      <c r="C75">
        <v>22</v>
      </c>
      <c r="D75" t="s">
        <v>13</v>
      </c>
      <c r="E75">
        <v>16</v>
      </c>
      <c r="F75">
        <v>74</v>
      </c>
      <c r="G75">
        <v>6</v>
      </c>
      <c r="H75">
        <v>0.68</v>
      </c>
      <c r="I75" t="s">
        <v>14</v>
      </c>
      <c r="J75">
        <v>4</v>
      </c>
      <c r="K75">
        <v>7.7</v>
      </c>
      <c r="L75" t="s">
        <v>18</v>
      </c>
    </row>
    <row r="76" spans="1:12" x14ac:dyDescent="0.3">
      <c r="A76">
        <v>1075</v>
      </c>
      <c r="B76" t="s">
        <v>16</v>
      </c>
      <c r="C76">
        <v>20</v>
      </c>
      <c r="D76" t="s">
        <v>13</v>
      </c>
      <c r="E76">
        <v>30</v>
      </c>
      <c r="F76">
        <v>83.8</v>
      </c>
      <c r="G76">
        <v>10</v>
      </c>
      <c r="H76">
        <v>1.33</v>
      </c>
      <c r="I76" t="s">
        <v>17</v>
      </c>
      <c r="J76">
        <v>3</v>
      </c>
      <c r="K76">
        <v>5.8</v>
      </c>
      <c r="L76" t="s">
        <v>18</v>
      </c>
    </row>
    <row r="77" spans="1:12" x14ac:dyDescent="0.3">
      <c r="A77">
        <v>1076</v>
      </c>
      <c r="B77" t="s">
        <v>16</v>
      </c>
      <c r="C77">
        <v>20</v>
      </c>
      <c r="D77" t="s">
        <v>13</v>
      </c>
      <c r="E77">
        <v>18</v>
      </c>
      <c r="F77">
        <v>91.3</v>
      </c>
      <c r="G77">
        <v>6</v>
      </c>
      <c r="H77">
        <v>1.39</v>
      </c>
      <c r="I77" t="s">
        <v>19</v>
      </c>
      <c r="J77">
        <v>6</v>
      </c>
      <c r="K77">
        <v>8.6999999999999993</v>
      </c>
      <c r="L77" t="s">
        <v>18</v>
      </c>
    </row>
    <row r="78" spans="1:12" x14ac:dyDescent="0.3">
      <c r="A78">
        <v>1077</v>
      </c>
      <c r="B78" t="s">
        <v>16</v>
      </c>
      <c r="C78">
        <v>18</v>
      </c>
      <c r="D78" t="s">
        <v>13</v>
      </c>
      <c r="E78">
        <v>13</v>
      </c>
      <c r="F78">
        <v>89.8</v>
      </c>
      <c r="G78">
        <v>10</v>
      </c>
      <c r="H78">
        <v>1.05</v>
      </c>
      <c r="I78" t="s">
        <v>14</v>
      </c>
      <c r="J78">
        <v>5</v>
      </c>
      <c r="K78">
        <v>4.7</v>
      </c>
      <c r="L78" t="s">
        <v>15</v>
      </c>
    </row>
    <row r="79" spans="1:12" x14ac:dyDescent="0.3">
      <c r="A79">
        <v>1078</v>
      </c>
      <c r="B79" t="s">
        <v>16</v>
      </c>
      <c r="C79">
        <v>18</v>
      </c>
      <c r="D79" t="s">
        <v>13</v>
      </c>
      <c r="E79">
        <v>21</v>
      </c>
      <c r="F79">
        <v>84.2</v>
      </c>
      <c r="G79">
        <v>7</v>
      </c>
      <c r="H79">
        <v>1.3</v>
      </c>
      <c r="I79" t="s">
        <v>14</v>
      </c>
      <c r="J79">
        <v>4</v>
      </c>
      <c r="K79">
        <v>4.5</v>
      </c>
      <c r="L79" t="s">
        <v>15</v>
      </c>
    </row>
    <row r="80" spans="1:12" x14ac:dyDescent="0.3">
      <c r="A80">
        <v>1079</v>
      </c>
      <c r="B80" t="s">
        <v>12</v>
      </c>
      <c r="C80">
        <v>23</v>
      </c>
      <c r="D80" t="s">
        <v>13</v>
      </c>
      <c r="E80">
        <v>19</v>
      </c>
      <c r="F80">
        <v>96.6</v>
      </c>
      <c r="G80">
        <v>9</v>
      </c>
      <c r="H80">
        <v>1.68</v>
      </c>
      <c r="I80" t="s">
        <v>19</v>
      </c>
      <c r="J80">
        <v>7</v>
      </c>
      <c r="K80">
        <v>6.3</v>
      </c>
      <c r="L80" t="s">
        <v>18</v>
      </c>
    </row>
    <row r="81" spans="1:12" x14ac:dyDescent="0.3">
      <c r="A81">
        <v>1080</v>
      </c>
      <c r="B81" t="s">
        <v>16</v>
      </c>
      <c r="C81">
        <v>20</v>
      </c>
      <c r="D81" t="s">
        <v>13</v>
      </c>
      <c r="E81">
        <v>8</v>
      </c>
      <c r="F81">
        <v>87.1</v>
      </c>
      <c r="G81">
        <v>8</v>
      </c>
      <c r="H81">
        <v>1.22</v>
      </c>
      <c r="I81" t="s">
        <v>14</v>
      </c>
      <c r="J81">
        <v>2</v>
      </c>
      <c r="K81">
        <v>7.9</v>
      </c>
      <c r="L81" t="s">
        <v>18</v>
      </c>
    </row>
    <row r="82" spans="1:12" x14ac:dyDescent="0.3">
      <c r="A82">
        <v>1081</v>
      </c>
      <c r="B82" t="s">
        <v>16</v>
      </c>
      <c r="C82">
        <v>22</v>
      </c>
      <c r="D82" t="s">
        <v>13</v>
      </c>
      <c r="E82">
        <v>15</v>
      </c>
      <c r="F82">
        <v>96.9</v>
      </c>
      <c r="G82">
        <v>9</v>
      </c>
      <c r="H82">
        <v>1.33</v>
      </c>
      <c r="I82" t="s">
        <v>17</v>
      </c>
      <c r="J82">
        <v>6</v>
      </c>
      <c r="K82">
        <v>6.4</v>
      </c>
      <c r="L82" t="s">
        <v>18</v>
      </c>
    </row>
    <row r="83" spans="1:12" x14ac:dyDescent="0.3">
      <c r="A83">
        <v>1082</v>
      </c>
      <c r="B83" t="s">
        <v>16</v>
      </c>
      <c r="C83">
        <v>19</v>
      </c>
      <c r="D83" t="s">
        <v>13</v>
      </c>
      <c r="E83">
        <v>24</v>
      </c>
      <c r="F83">
        <v>82.6</v>
      </c>
      <c r="G83">
        <v>6</v>
      </c>
      <c r="H83">
        <v>1.85</v>
      </c>
      <c r="I83" t="s">
        <v>14</v>
      </c>
      <c r="J83">
        <v>4</v>
      </c>
      <c r="K83">
        <v>6.5</v>
      </c>
      <c r="L83" t="s">
        <v>18</v>
      </c>
    </row>
    <row r="84" spans="1:12" x14ac:dyDescent="0.3">
      <c r="A84">
        <v>1083</v>
      </c>
      <c r="B84" t="s">
        <v>16</v>
      </c>
      <c r="C84">
        <v>20</v>
      </c>
      <c r="D84" t="s">
        <v>13</v>
      </c>
      <c r="E84">
        <v>14</v>
      </c>
      <c r="F84">
        <v>82.5</v>
      </c>
      <c r="G84">
        <v>8</v>
      </c>
      <c r="H84">
        <v>1.1000000000000001</v>
      </c>
      <c r="I84" t="s">
        <v>14</v>
      </c>
      <c r="J84">
        <v>2</v>
      </c>
      <c r="K84">
        <v>8</v>
      </c>
      <c r="L84" t="s">
        <v>18</v>
      </c>
    </row>
    <row r="85" spans="1:12" x14ac:dyDescent="0.3">
      <c r="A85">
        <v>1084</v>
      </c>
      <c r="B85" t="s">
        <v>16</v>
      </c>
      <c r="C85">
        <v>20</v>
      </c>
      <c r="D85" t="s">
        <v>13</v>
      </c>
      <c r="E85">
        <v>20</v>
      </c>
      <c r="F85">
        <v>86.2</v>
      </c>
      <c r="G85">
        <v>4</v>
      </c>
      <c r="H85">
        <v>1.27</v>
      </c>
      <c r="I85" t="s">
        <v>14</v>
      </c>
      <c r="J85">
        <v>4</v>
      </c>
      <c r="K85">
        <v>5.8</v>
      </c>
      <c r="L85" t="s">
        <v>18</v>
      </c>
    </row>
    <row r="86" spans="1:12" x14ac:dyDescent="0.3">
      <c r="A86">
        <v>1085</v>
      </c>
      <c r="B86" t="s">
        <v>16</v>
      </c>
      <c r="C86">
        <v>24</v>
      </c>
      <c r="D86" t="s">
        <v>13</v>
      </c>
      <c r="E86">
        <v>16</v>
      </c>
      <c r="F86">
        <v>79.5</v>
      </c>
      <c r="G86">
        <v>7</v>
      </c>
      <c r="H86">
        <v>1.66</v>
      </c>
      <c r="I86" t="s">
        <v>19</v>
      </c>
      <c r="J86">
        <v>5</v>
      </c>
      <c r="K86">
        <v>6.9</v>
      </c>
      <c r="L86" t="s">
        <v>15</v>
      </c>
    </row>
    <row r="87" spans="1:12" x14ac:dyDescent="0.3">
      <c r="A87">
        <v>1086</v>
      </c>
      <c r="B87" t="s">
        <v>12</v>
      </c>
      <c r="C87">
        <v>23</v>
      </c>
      <c r="D87" t="s">
        <v>13</v>
      </c>
      <c r="E87">
        <v>19</v>
      </c>
      <c r="F87">
        <v>83.4</v>
      </c>
      <c r="G87">
        <v>9</v>
      </c>
      <c r="H87">
        <v>1.54</v>
      </c>
      <c r="I87" t="s">
        <v>14</v>
      </c>
      <c r="J87">
        <v>2</v>
      </c>
      <c r="K87">
        <v>6</v>
      </c>
      <c r="L87" t="s">
        <v>18</v>
      </c>
    </row>
    <row r="88" spans="1:12" x14ac:dyDescent="0.3">
      <c r="A88">
        <v>1087</v>
      </c>
      <c r="B88" t="s">
        <v>12</v>
      </c>
      <c r="C88">
        <v>20</v>
      </c>
      <c r="D88" t="s">
        <v>13</v>
      </c>
      <c r="E88">
        <v>19</v>
      </c>
      <c r="F88">
        <v>97</v>
      </c>
      <c r="G88">
        <v>9</v>
      </c>
      <c r="H88">
        <v>1.68</v>
      </c>
      <c r="I88" t="s">
        <v>14</v>
      </c>
      <c r="J88">
        <v>4</v>
      </c>
      <c r="K88">
        <v>7.4</v>
      </c>
      <c r="L88" t="s">
        <v>15</v>
      </c>
    </row>
    <row r="89" spans="1:12" x14ac:dyDescent="0.3">
      <c r="A89">
        <v>1088</v>
      </c>
      <c r="B89" t="s">
        <v>12</v>
      </c>
      <c r="C89">
        <v>21</v>
      </c>
      <c r="D89" t="s">
        <v>13</v>
      </c>
      <c r="E89">
        <v>20</v>
      </c>
      <c r="F89">
        <v>73.099999999999994</v>
      </c>
      <c r="G89">
        <v>10</v>
      </c>
      <c r="H89">
        <v>0.86</v>
      </c>
      <c r="I89" t="s">
        <v>14</v>
      </c>
      <c r="J89">
        <v>6</v>
      </c>
      <c r="K89">
        <v>6.7</v>
      </c>
      <c r="L89" t="s">
        <v>15</v>
      </c>
    </row>
    <row r="90" spans="1:12" x14ac:dyDescent="0.3">
      <c r="A90">
        <v>1089</v>
      </c>
      <c r="B90" t="s">
        <v>16</v>
      </c>
      <c r="C90">
        <v>22</v>
      </c>
      <c r="D90" t="s">
        <v>13</v>
      </c>
      <c r="E90">
        <v>18</v>
      </c>
      <c r="F90">
        <v>78</v>
      </c>
      <c r="G90">
        <v>8</v>
      </c>
      <c r="H90">
        <v>1.1299999999999999</v>
      </c>
      <c r="I90" t="s">
        <v>17</v>
      </c>
      <c r="J90">
        <v>7</v>
      </c>
      <c r="K90">
        <v>7</v>
      </c>
      <c r="L90" t="s">
        <v>18</v>
      </c>
    </row>
    <row r="91" spans="1:12" x14ac:dyDescent="0.3">
      <c r="A91">
        <v>1090</v>
      </c>
      <c r="B91" t="s">
        <v>12</v>
      </c>
      <c r="C91">
        <v>23</v>
      </c>
      <c r="D91" t="s">
        <v>13</v>
      </c>
      <c r="E91">
        <v>13</v>
      </c>
      <c r="F91">
        <v>94.2</v>
      </c>
      <c r="G91">
        <v>9</v>
      </c>
      <c r="H91">
        <v>0.35</v>
      </c>
      <c r="I91" t="s">
        <v>14</v>
      </c>
      <c r="J91">
        <v>4</v>
      </c>
      <c r="K91">
        <v>7</v>
      </c>
      <c r="L91" t="s">
        <v>15</v>
      </c>
    </row>
    <row r="92" spans="1:12" x14ac:dyDescent="0.3">
      <c r="A92">
        <v>1091</v>
      </c>
      <c r="B92" t="s">
        <v>12</v>
      </c>
      <c r="C92">
        <v>24</v>
      </c>
      <c r="D92" t="s">
        <v>13</v>
      </c>
      <c r="E92">
        <v>15</v>
      </c>
      <c r="F92">
        <v>77.7</v>
      </c>
      <c r="G92">
        <v>8</v>
      </c>
      <c r="H92">
        <v>1.33</v>
      </c>
      <c r="I92" t="s">
        <v>19</v>
      </c>
      <c r="J92">
        <v>7</v>
      </c>
      <c r="K92">
        <v>7.7</v>
      </c>
      <c r="L92" t="s">
        <v>18</v>
      </c>
    </row>
    <row r="93" spans="1:12" x14ac:dyDescent="0.3">
      <c r="A93">
        <v>1092</v>
      </c>
      <c r="B93" t="s">
        <v>12</v>
      </c>
      <c r="C93">
        <v>24</v>
      </c>
      <c r="D93" t="s">
        <v>13</v>
      </c>
      <c r="E93">
        <v>14</v>
      </c>
      <c r="F93">
        <v>90.9</v>
      </c>
      <c r="G93">
        <v>4</v>
      </c>
      <c r="H93">
        <v>1.58</v>
      </c>
      <c r="I93" t="s">
        <v>17</v>
      </c>
      <c r="J93">
        <v>6</v>
      </c>
      <c r="K93">
        <v>6.6</v>
      </c>
      <c r="L93" t="s">
        <v>15</v>
      </c>
    </row>
    <row r="94" spans="1:12" x14ac:dyDescent="0.3">
      <c r="A94">
        <v>1093</v>
      </c>
      <c r="B94" t="s">
        <v>16</v>
      </c>
      <c r="C94">
        <v>22</v>
      </c>
      <c r="D94" t="s">
        <v>13</v>
      </c>
      <c r="E94">
        <v>19</v>
      </c>
      <c r="F94">
        <v>87.4</v>
      </c>
      <c r="G94">
        <v>6</v>
      </c>
      <c r="H94">
        <v>1.3</v>
      </c>
      <c r="I94" t="s">
        <v>14</v>
      </c>
      <c r="J94">
        <v>5</v>
      </c>
      <c r="K94">
        <v>6.4</v>
      </c>
      <c r="L94" t="s">
        <v>18</v>
      </c>
    </row>
    <row r="95" spans="1:12" x14ac:dyDescent="0.3">
      <c r="A95">
        <v>1094</v>
      </c>
      <c r="B95" t="s">
        <v>16</v>
      </c>
      <c r="C95">
        <v>21</v>
      </c>
      <c r="D95" t="s">
        <v>13</v>
      </c>
      <c r="E95">
        <v>22</v>
      </c>
      <c r="F95">
        <v>71.2</v>
      </c>
      <c r="G95">
        <v>5</v>
      </c>
      <c r="H95">
        <v>2.0299999999999998</v>
      </c>
      <c r="I95" t="s">
        <v>19</v>
      </c>
      <c r="J95">
        <v>5</v>
      </c>
      <c r="K95">
        <v>5.8</v>
      </c>
      <c r="L95" t="s">
        <v>18</v>
      </c>
    </row>
    <row r="96" spans="1:12" x14ac:dyDescent="0.3">
      <c r="A96">
        <v>1095</v>
      </c>
      <c r="B96" t="s">
        <v>16</v>
      </c>
      <c r="C96">
        <v>21</v>
      </c>
      <c r="D96" t="s">
        <v>13</v>
      </c>
      <c r="E96">
        <v>21</v>
      </c>
      <c r="F96">
        <v>86.7</v>
      </c>
      <c r="G96">
        <v>9</v>
      </c>
      <c r="H96">
        <v>1.35</v>
      </c>
      <c r="I96" t="s">
        <v>14</v>
      </c>
      <c r="J96">
        <v>5</v>
      </c>
      <c r="K96">
        <v>5.4</v>
      </c>
      <c r="L96" t="s">
        <v>15</v>
      </c>
    </row>
    <row r="97" spans="1:12" x14ac:dyDescent="0.3">
      <c r="A97">
        <v>1096</v>
      </c>
      <c r="B97" t="s">
        <v>12</v>
      </c>
      <c r="C97">
        <v>24</v>
      </c>
      <c r="D97" t="s">
        <v>13</v>
      </c>
      <c r="E97">
        <v>19</v>
      </c>
      <c r="F97">
        <v>79.3</v>
      </c>
      <c r="G97">
        <v>10</v>
      </c>
      <c r="H97">
        <v>1.66</v>
      </c>
      <c r="I97" t="s">
        <v>14</v>
      </c>
      <c r="J97">
        <v>4</v>
      </c>
      <c r="K97">
        <v>7.5</v>
      </c>
      <c r="L97" t="s">
        <v>15</v>
      </c>
    </row>
    <row r="98" spans="1:12" x14ac:dyDescent="0.3">
      <c r="A98">
        <v>1097</v>
      </c>
      <c r="B98" t="s">
        <v>12</v>
      </c>
      <c r="C98">
        <v>20</v>
      </c>
      <c r="D98" t="s">
        <v>13</v>
      </c>
      <c r="E98">
        <v>22</v>
      </c>
      <c r="F98">
        <v>78.2</v>
      </c>
      <c r="G98">
        <v>7</v>
      </c>
      <c r="H98">
        <v>0.89</v>
      </c>
      <c r="I98" t="s">
        <v>14</v>
      </c>
      <c r="J98">
        <v>2</v>
      </c>
      <c r="K98">
        <v>8.1</v>
      </c>
      <c r="L98" t="s">
        <v>18</v>
      </c>
    </row>
    <row r="99" spans="1:12" x14ac:dyDescent="0.3">
      <c r="A99">
        <v>1098</v>
      </c>
      <c r="B99" t="s">
        <v>12</v>
      </c>
      <c r="C99">
        <v>19</v>
      </c>
      <c r="D99" t="s">
        <v>13</v>
      </c>
      <c r="E99">
        <v>10</v>
      </c>
      <c r="F99">
        <v>80.099999999999994</v>
      </c>
      <c r="G99">
        <v>7</v>
      </c>
      <c r="H99">
        <v>0.35</v>
      </c>
      <c r="I99" t="s">
        <v>14</v>
      </c>
      <c r="J99">
        <v>6</v>
      </c>
      <c r="K99">
        <v>6.2</v>
      </c>
      <c r="L99" t="s">
        <v>15</v>
      </c>
    </row>
    <row r="100" spans="1:12" x14ac:dyDescent="0.3">
      <c r="A100">
        <v>1099</v>
      </c>
      <c r="B100" t="s">
        <v>12</v>
      </c>
      <c r="C100">
        <v>21</v>
      </c>
      <c r="D100" t="s">
        <v>13</v>
      </c>
      <c r="E100">
        <v>3</v>
      </c>
      <c r="F100">
        <v>100</v>
      </c>
      <c r="G100">
        <v>6</v>
      </c>
      <c r="H100">
        <v>1.26</v>
      </c>
      <c r="I100" t="s">
        <v>14</v>
      </c>
      <c r="J100">
        <v>6</v>
      </c>
      <c r="K100">
        <v>6.2</v>
      </c>
      <c r="L100" t="s">
        <v>18</v>
      </c>
    </row>
    <row r="101" spans="1:12" x14ac:dyDescent="0.3">
      <c r="A101">
        <v>1100</v>
      </c>
      <c r="B101" t="s">
        <v>16</v>
      </c>
      <c r="C101">
        <v>21</v>
      </c>
      <c r="D101" t="s">
        <v>13</v>
      </c>
      <c r="E101">
        <v>17</v>
      </c>
      <c r="F101">
        <v>86.5</v>
      </c>
      <c r="G101">
        <v>7</v>
      </c>
      <c r="H101">
        <v>1.37</v>
      </c>
      <c r="I101" t="s">
        <v>19</v>
      </c>
      <c r="J101">
        <v>8</v>
      </c>
      <c r="K101">
        <v>7.3</v>
      </c>
      <c r="L101" t="s">
        <v>15</v>
      </c>
    </row>
    <row r="102" spans="1:12" x14ac:dyDescent="0.3">
      <c r="A102">
        <v>1101</v>
      </c>
      <c r="B102" t="s">
        <v>16</v>
      </c>
      <c r="C102">
        <v>21</v>
      </c>
      <c r="D102" t="s">
        <v>13</v>
      </c>
      <c r="E102">
        <v>11</v>
      </c>
      <c r="F102">
        <v>75.3</v>
      </c>
      <c r="G102">
        <v>6</v>
      </c>
      <c r="H102">
        <v>0.5</v>
      </c>
      <c r="I102" t="s">
        <v>17</v>
      </c>
      <c r="J102">
        <v>5</v>
      </c>
      <c r="K102">
        <v>6.5</v>
      </c>
      <c r="L102" t="s">
        <v>18</v>
      </c>
    </row>
    <row r="103" spans="1:12" x14ac:dyDescent="0.3">
      <c r="A103">
        <v>1102</v>
      </c>
      <c r="B103" t="s">
        <v>12</v>
      </c>
      <c r="C103">
        <v>24</v>
      </c>
      <c r="D103" t="s">
        <v>13</v>
      </c>
      <c r="E103">
        <v>18</v>
      </c>
      <c r="F103">
        <v>89.8</v>
      </c>
      <c r="G103">
        <v>9</v>
      </c>
      <c r="H103">
        <v>1.67</v>
      </c>
      <c r="I103" t="s">
        <v>14</v>
      </c>
      <c r="J103">
        <v>2</v>
      </c>
      <c r="K103">
        <v>5.8</v>
      </c>
      <c r="L103" t="s">
        <v>15</v>
      </c>
    </row>
    <row r="104" spans="1:12" x14ac:dyDescent="0.3">
      <c r="A104">
        <v>1103</v>
      </c>
      <c r="B104" t="s">
        <v>12</v>
      </c>
      <c r="C104">
        <v>21</v>
      </c>
      <c r="D104" t="s">
        <v>13</v>
      </c>
      <c r="E104">
        <v>11</v>
      </c>
      <c r="F104">
        <v>95.2</v>
      </c>
      <c r="G104">
        <v>10</v>
      </c>
      <c r="H104">
        <v>1.54</v>
      </c>
      <c r="I104" t="s">
        <v>17</v>
      </c>
      <c r="J104">
        <v>8</v>
      </c>
      <c r="K104">
        <v>5</v>
      </c>
      <c r="L104" t="s">
        <v>18</v>
      </c>
    </row>
    <row r="105" spans="1:12" x14ac:dyDescent="0.3">
      <c r="A105">
        <v>1104</v>
      </c>
      <c r="B105" t="s">
        <v>16</v>
      </c>
      <c r="C105">
        <v>23</v>
      </c>
      <c r="D105" t="s">
        <v>13</v>
      </c>
      <c r="E105">
        <v>17</v>
      </c>
      <c r="F105">
        <v>99.7</v>
      </c>
      <c r="G105">
        <v>10</v>
      </c>
      <c r="H105">
        <v>0.83</v>
      </c>
      <c r="I105" t="s">
        <v>17</v>
      </c>
      <c r="J105">
        <v>6</v>
      </c>
      <c r="K105">
        <v>8.1</v>
      </c>
      <c r="L105" t="s">
        <v>18</v>
      </c>
    </row>
    <row r="106" spans="1:12" x14ac:dyDescent="0.3">
      <c r="A106">
        <v>1105</v>
      </c>
      <c r="B106" t="s">
        <v>16</v>
      </c>
      <c r="C106">
        <v>22</v>
      </c>
      <c r="D106" t="s">
        <v>13</v>
      </c>
      <c r="E106">
        <v>13</v>
      </c>
      <c r="F106">
        <v>86.4</v>
      </c>
      <c r="G106">
        <v>6</v>
      </c>
      <c r="H106">
        <v>0.9</v>
      </c>
      <c r="I106" t="s">
        <v>17</v>
      </c>
      <c r="J106">
        <v>5</v>
      </c>
      <c r="K106">
        <v>5.9</v>
      </c>
      <c r="L106" t="s">
        <v>18</v>
      </c>
    </row>
    <row r="107" spans="1:12" x14ac:dyDescent="0.3">
      <c r="A107">
        <v>1106</v>
      </c>
      <c r="B107" t="s">
        <v>16</v>
      </c>
      <c r="C107">
        <v>18</v>
      </c>
      <c r="D107" t="s">
        <v>13</v>
      </c>
      <c r="E107">
        <v>19</v>
      </c>
      <c r="F107">
        <v>96.2</v>
      </c>
      <c r="G107">
        <v>10</v>
      </c>
      <c r="H107">
        <v>1.37</v>
      </c>
      <c r="I107" t="s">
        <v>14</v>
      </c>
      <c r="J107">
        <v>6</v>
      </c>
      <c r="K107">
        <v>6.6</v>
      </c>
      <c r="L107" t="s">
        <v>15</v>
      </c>
    </row>
    <row r="108" spans="1:12" x14ac:dyDescent="0.3">
      <c r="A108">
        <v>1107</v>
      </c>
      <c r="B108" t="s">
        <v>12</v>
      </c>
      <c r="C108">
        <v>20</v>
      </c>
      <c r="D108" t="s">
        <v>13</v>
      </c>
      <c r="E108">
        <v>18</v>
      </c>
      <c r="F108">
        <v>80.599999999999994</v>
      </c>
      <c r="G108">
        <v>9</v>
      </c>
      <c r="H108">
        <v>0.84</v>
      </c>
      <c r="I108" t="s">
        <v>14</v>
      </c>
      <c r="J108">
        <v>4</v>
      </c>
      <c r="K108">
        <v>7.7</v>
      </c>
      <c r="L108" t="s">
        <v>15</v>
      </c>
    </row>
    <row r="109" spans="1:12" x14ac:dyDescent="0.3">
      <c r="A109">
        <v>1108</v>
      </c>
      <c r="B109" t="s">
        <v>12</v>
      </c>
      <c r="C109">
        <v>21</v>
      </c>
      <c r="D109" t="s">
        <v>13</v>
      </c>
      <c r="E109">
        <v>16</v>
      </c>
      <c r="F109">
        <v>100</v>
      </c>
      <c r="G109">
        <v>6</v>
      </c>
      <c r="H109">
        <v>1.44</v>
      </c>
      <c r="I109" t="s">
        <v>14</v>
      </c>
      <c r="J109">
        <v>2</v>
      </c>
      <c r="K109">
        <v>5.6</v>
      </c>
      <c r="L109" t="s">
        <v>18</v>
      </c>
    </row>
    <row r="110" spans="1:12" x14ac:dyDescent="0.3">
      <c r="A110">
        <v>1109</v>
      </c>
      <c r="B110" t="s">
        <v>16</v>
      </c>
      <c r="C110">
        <v>23</v>
      </c>
      <c r="D110" t="s">
        <v>13</v>
      </c>
      <c r="E110">
        <v>11</v>
      </c>
      <c r="F110">
        <v>86.1</v>
      </c>
      <c r="G110">
        <v>10</v>
      </c>
      <c r="H110">
        <v>0.95</v>
      </c>
      <c r="I110" t="s">
        <v>14</v>
      </c>
      <c r="J110">
        <v>7</v>
      </c>
      <c r="K110">
        <v>7.1</v>
      </c>
      <c r="L110" t="s">
        <v>18</v>
      </c>
    </row>
    <row r="111" spans="1:12" x14ac:dyDescent="0.3">
      <c r="A111">
        <v>1110</v>
      </c>
      <c r="B111" t="s">
        <v>12</v>
      </c>
      <c r="C111">
        <v>23</v>
      </c>
      <c r="D111" t="s">
        <v>13</v>
      </c>
      <c r="E111">
        <v>19</v>
      </c>
      <c r="F111">
        <v>83.9</v>
      </c>
      <c r="G111">
        <v>10</v>
      </c>
      <c r="H111">
        <v>1.1499999999999999</v>
      </c>
      <c r="I111" t="s">
        <v>17</v>
      </c>
      <c r="J111">
        <v>3</v>
      </c>
      <c r="K111">
        <v>7</v>
      </c>
      <c r="L111" t="s">
        <v>15</v>
      </c>
    </row>
    <row r="112" spans="1:12" x14ac:dyDescent="0.3">
      <c r="A112">
        <v>1111</v>
      </c>
      <c r="B112" t="s">
        <v>16</v>
      </c>
      <c r="C112">
        <v>22</v>
      </c>
      <c r="D112" t="s">
        <v>13</v>
      </c>
      <c r="E112">
        <v>2</v>
      </c>
      <c r="F112">
        <v>88.5</v>
      </c>
      <c r="G112">
        <v>3</v>
      </c>
      <c r="H112">
        <v>1.08</v>
      </c>
      <c r="I112" t="s">
        <v>14</v>
      </c>
      <c r="J112">
        <v>5</v>
      </c>
      <c r="K112">
        <v>4.7</v>
      </c>
      <c r="L112" t="s">
        <v>18</v>
      </c>
    </row>
    <row r="113" spans="1:12" x14ac:dyDescent="0.3">
      <c r="A113">
        <v>1112</v>
      </c>
      <c r="B113" t="s">
        <v>16</v>
      </c>
      <c r="C113">
        <v>19</v>
      </c>
      <c r="D113" t="s">
        <v>13</v>
      </c>
      <c r="E113">
        <v>11</v>
      </c>
      <c r="F113">
        <v>64.900000000000006</v>
      </c>
      <c r="G113">
        <v>6</v>
      </c>
      <c r="H113">
        <v>0.96</v>
      </c>
      <c r="I113" t="s">
        <v>14</v>
      </c>
      <c r="J113">
        <v>4</v>
      </c>
      <c r="K113">
        <v>8</v>
      </c>
      <c r="L113" t="s">
        <v>18</v>
      </c>
    </row>
    <row r="114" spans="1:12" x14ac:dyDescent="0.3">
      <c r="A114">
        <v>1113</v>
      </c>
      <c r="B114" t="s">
        <v>12</v>
      </c>
      <c r="C114">
        <v>22</v>
      </c>
      <c r="D114" t="s">
        <v>13</v>
      </c>
      <c r="E114">
        <v>16</v>
      </c>
      <c r="F114">
        <v>85.3</v>
      </c>
      <c r="G114">
        <v>5</v>
      </c>
      <c r="H114">
        <v>1.06</v>
      </c>
      <c r="I114" t="s">
        <v>19</v>
      </c>
      <c r="J114">
        <v>5</v>
      </c>
      <c r="K114">
        <v>6.7</v>
      </c>
      <c r="L114" t="s">
        <v>15</v>
      </c>
    </row>
    <row r="115" spans="1:12" x14ac:dyDescent="0.3">
      <c r="A115">
        <v>1114</v>
      </c>
      <c r="B115" t="s">
        <v>16</v>
      </c>
      <c r="C115">
        <v>18</v>
      </c>
      <c r="D115" t="s">
        <v>13</v>
      </c>
      <c r="E115">
        <v>15</v>
      </c>
      <c r="F115">
        <v>91.5</v>
      </c>
      <c r="G115">
        <v>8</v>
      </c>
      <c r="H115">
        <v>1.57</v>
      </c>
      <c r="I115" t="s">
        <v>14</v>
      </c>
      <c r="J115">
        <v>7</v>
      </c>
      <c r="K115">
        <v>6.2</v>
      </c>
      <c r="L115" t="s">
        <v>18</v>
      </c>
    </row>
    <row r="116" spans="1:12" x14ac:dyDescent="0.3">
      <c r="A116">
        <v>1115</v>
      </c>
      <c r="B116" t="s">
        <v>16</v>
      </c>
      <c r="C116">
        <v>21</v>
      </c>
      <c r="D116" t="s">
        <v>13</v>
      </c>
      <c r="E116">
        <v>20</v>
      </c>
      <c r="F116">
        <v>94.1</v>
      </c>
      <c r="G116">
        <v>3</v>
      </c>
      <c r="H116">
        <v>1.6</v>
      </c>
      <c r="I116" t="s">
        <v>14</v>
      </c>
      <c r="J116">
        <v>3</v>
      </c>
      <c r="K116">
        <v>6.6</v>
      </c>
      <c r="L116" t="s">
        <v>15</v>
      </c>
    </row>
    <row r="117" spans="1:12" x14ac:dyDescent="0.3">
      <c r="A117">
        <v>1116</v>
      </c>
      <c r="B117" t="s">
        <v>16</v>
      </c>
      <c r="C117">
        <v>23</v>
      </c>
      <c r="D117" t="s">
        <v>13</v>
      </c>
      <c r="E117">
        <v>8</v>
      </c>
      <c r="F117">
        <v>80</v>
      </c>
      <c r="G117">
        <v>8</v>
      </c>
      <c r="H117">
        <v>0.95</v>
      </c>
      <c r="I117" t="s">
        <v>14</v>
      </c>
      <c r="J117">
        <v>2</v>
      </c>
      <c r="K117">
        <v>4.9000000000000004</v>
      </c>
      <c r="L117" t="s">
        <v>18</v>
      </c>
    </row>
    <row r="118" spans="1:12" x14ac:dyDescent="0.3">
      <c r="A118">
        <v>1117</v>
      </c>
      <c r="B118" t="s">
        <v>16</v>
      </c>
      <c r="C118">
        <v>18</v>
      </c>
      <c r="D118" t="s">
        <v>13</v>
      </c>
      <c r="E118">
        <v>24</v>
      </c>
      <c r="F118">
        <v>86.3</v>
      </c>
      <c r="G118">
        <v>10</v>
      </c>
      <c r="H118">
        <v>1.77</v>
      </c>
      <c r="I118" t="s">
        <v>19</v>
      </c>
      <c r="J118">
        <v>7</v>
      </c>
      <c r="K118">
        <v>6.8</v>
      </c>
      <c r="L118" t="s">
        <v>15</v>
      </c>
    </row>
    <row r="119" spans="1:12" x14ac:dyDescent="0.3">
      <c r="A119">
        <v>1118</v>
      </c>
      <c r="B119" t="s">
        <v>12</v>
      </c>
      <c r="C119">
        <v>20</v>
      </c>
      <c r="D119" t="s">
        <v>13</v>
      </c>
      <c r="E119">
        <v>20</v>
      </c>
      <c r="F119">
        <v>82.9</v>
      </c>
      <c r="G119">
        <v>6</v>
      </c>
      <c r="H119">
        <v>1.28</v>
      </c>
      <c r="I119" t="s">
        <v>17</v>
      </c>
      <c r="J119">
        <v>4</v>
      </c>
      <c r="K119">
        <v>6.7</v>
      </c>
      <c r="L119" t="s">
        <v>18</v>
      </c>
    </row>
    <row r="120" spans="1:12" x14ac:dyDescent="0.3">
      <c r="A120">
        <v>1119</v>
      </c>
      <c r="B120" t="s">
        <v>16</v>
      </c>
      <c r="C120">
        <v>18</v>
      </c>
      <c r="D120" t="s">
        <v>13</v>
      </c>
      <c r="E120">
        <v>7</v>
      </c>
      <c r="F120">
        <v>80.2</v>
      </c>
      <c r="G120">
        <v>7</v>
      </c>
      <c r="H120">
        <v>1.24</v>
      </c>
      <c r="I120" t="s">
        <v>14</v>
      </c>
      <c r="J120">
        <v>3</v>
      </c>
      <c r="K120">
        <v>5.0999999999999996</v>
      </c>
      <c r="L120" t="s">
        <v>18</v>
      </c>
    </row>
    <row r="121" spans="1:12" x14ac:dyDescent="0.3">
      <c r="A121">
        <v>1120</v>
      </c>
      <c r="B121" t="s">
        <v>16</v>
      </c>
      <c r="C121">
        <v>21</v>
      </c>
      <c r="D121" t="s">
        <v>13</v>
      </c>
      <c r="E121">
        <v>24</v>
      </c>
      <c r="F121">
        <v>85.4</v>
      </c>
      <c r="G121">
        <v>10</v>
      </c>
      <c r="H121">
        <v>1.26</v>
      </c>
      <c r="I121" t="s">
        <v>17</v>
      </c>
      <c r="J121">
        <v>3</v>
      </c>
      <c r="K121">
        <v>6.9</v>
      </c>
      <c r="L121" t="s">
        <v>18</v>
      </c>
    </row>
    <row r="122" spans="1:12" x14ac:dyDescent="0.3">
      <c r="A122">
        <v>1121</v>
      </c>
      <c r="B122" t="s">
        <v>16</v>
      </c>
      <c r="C122">
        <v>21</v>
      </c>
      <c r="D122" t="s">
        <v>13</v>
      </c>
      <c r="E122">
        <v>18</v>
      </c>
      <c r="F122">
        <v>86.3</v>
      </c>
      <c r="G122">
        <v>7</v>
      </c>
      <c r="H122">
        <v>1.29</v>
      </c>
      <c r="I122" t="s">
        <v>14</v>
      </c>
      <c r="J122">
        <v>4</v>
      </c>
      <c r="K122">
        <v>5.2</v>
      </c>
      <c r="L122" t="s">
        <v>18</v>
      </c>
    </row>
    <row r="123" spans="1:12" x14ac:dyDescent="0.3">
      <c r="A123">
        <v>1122</v>
      </c>
      <c r="B123" t="s">
        <v>16</v>
      </c>
      <c r="C123">
        <v>18</v>
      </c>
      <c r="D123" t="s">
        <v>13</v>
      </c>
      <c r="E123">
        <v>20</v>
      </c>
      <c r="F123">
        <v>90.4</v>
      </c>
      <c r="G123">
        <v>10</v>
      </c>
      <c r="H123">
        <v>1.38</v>
      </c>
      <c r="I123" t="s">
        <v>14</v>
      </c>
      <c r="J123">
        <v>4</v>
      </c>
      <c r="K123">
        <v>6.4</v>
      </c>
      <c r="L123" t="s">
        <v>18</v>
      </c>
    </row>
    <row r="124" spans="1:12" x14ac:dyDescent="0.3">
      <c r="A124">
        <v>1123</v>
      </c>
      <c r="B124" t="s">
        <v>16</v>
      </c>
      <c r="C124">
        <v>22</v>
      </c>
      <c r="D124" t="s">
        <v>13</v>
      </c>
      <c r="E124">
        <v>20</v>
      </c>
      <c r="F124">
        <v>92.6</v>
      </c>
      <c r="G124">
        <v>10</v>
      </c>
      <c r="H124">
        <v>1.25</v>
      </c>
      <c r="I124" t="s">
        <v>14</v>
      </c>
      <c r="J124">
        <v>4</v>
      </c>
      <c r="K124">
        <v>7.3</v>
      </c>
      <c r="L124" t="s">
        <v>18</v>
      </c>
    </row>
    <row r="125" spans="1:12" x14ac:dyDescent="0.3">
      <c r="A125">
        <v>1124</v>
      </c>
      <c r="B125" t="s">
        <v>16</v>
      </c>
      <c r="C125">
        <v>19</v>
      </c>
      <c r="D125" t="s">
        <v>13</v>
      </c>
      <c r="E125">
        <v>9</v>
      </c>
      <c r="F125">
        <v>98.3</v>
      </c>
      <c r="G125">
        <v>8</v>
      </c>
      <c r="H125">
        <v>1.04</v>
      </c>
      <c r="I125" t="s">
        <v>14</v>
      </c>
      <c r="J125">
        <v>3</v>
      </c>
      <c r="K125">
        <v>7.1</v>
      </c>
      <c r="L125" t="s">
        <v>18</v>
      </c>
    </row>
    <row r="126" spans="1:12" x14ac:dyDescent="0.3">
      <c r="A126">
        <v>1125</v>
      </c>
      <c r="B126" t="s">
        <v>12</v>
      </c>
      <c r="C126">
        <v>22</v>
      </c>
      <c r="D126" t="s">
        <v>13</v>
      </c>
      <c r="E126">
        <v>14</v>
      </c>
      <c r="F126">
        <v>91.4</v>
      </c>
      <c r="G126">
        <v>10</v>
      </c>
      <c r="H126">
        <v>1.7</v>
      </c>
      <c r="I126" t="s">
        <v>19</v>
      </c>
      <c r="J126">
        <v>3</v>
      </c>
      <c r="K126">
        <v>7.7</v>
      </c>
      <c r="L126" t="s">
        <v>18</v>
      </c>
    </row>
    <row r="127" spans="1:12" x14ac:dyDescent="0.3">
      <c r="A127">
        <v>1126</v>
      </c>
      <c r="B127" t="s">
        <v>16</v>
      </c>
      <c r="C127">
        <v>19</v>
      </c>
      <c r="D127" t="s">
        <v>13</v>
      </c>
      <c r="E127">
        <v>12</v>
      </c>
      <c r="F127">
        <v>89.4</v>
      </c>
      <c r="G127">
        <v>9</v>
      </c>
      <c r="H127">
        <v>0.88</v>
      </c>
      <c r="I127" t="s">
        <v>17</v>
      </c>
      <c r="J127">
        <v>4</v>
      </c>
      <c r="K127">
        <v>7.8</v>
      </c>
      <c r="L127" t="s">
        <v>18</v>
      </c>
    </row>
    <row r="128" spans="1:12" x14ac:dyDescent="0.3">
      <c r="A128">
        <v>1127</v>
      </c>
      <c r="B128" t="s">
        <v>16</v>
      </c>
      <c r="C128">
        <v>23</v>
      </c>
      <c r="D128" t="s">
        <v>13</v>
      </c>
      <c r="E128">
        <v>22</v>
      </c>
      <c r="F128">
        <v>82.8</v>
      </c>
      <c r="G128">
        <v>7</v>
      </c>
      <c r="H128">
        <v>1.41</v>
      </c>
      <c r="I128" t="s">
        <v>14</v>
      </c>
      <c r="J128">
        <v>2</v>
      </c>
      <c r="K128">
        <v>6.7</v>
      </c>
      <c r="L128" t="s">
        <v>18</v>
      </c>
    </row>
    <row r="129" spans="1:12" x14ac:dyDescent="0.3">
      <c r="A129">
        <v>1128</v>
      </c>
      <c r="B129" t="s">
        <v>12</v>
      </c>
      <c r="C129">
        <v>19</v>
      </c>
      <c r="D129" t="s">
        <v>13</v>
      </c>
      <c r="E129">
        <v>18</v>
      </c>
      <c r="F129">
        <v>100</v>
      </c>
      <c r="G129">
        <v>8</v>
      </c>
      <c r="H129">
        <v>1.04</v>
      </c>
      <c r="I129" t="s">
        <v>14</v>
      </c>
      <c r="J129">
        <v>5</v>
      </c>
      <c r="K129">
        <v>4.7</v>
      </c>
      <c r="L129" t="s">
        <v>15</v>
      </c>
    </row>
    <row r="130" spans="1:12" x14ac:dyDescent="0.3">
      <c r="A130">
        <v>1129</v>
      </c>
      <c r="B130" t="s">
        <v>16</v>
      </c>
      <c r="C130">
        <v>21</v>
      </c>
      <c r="D130" t="s">
        <v>13</v>
      </c>
      <c r="E130">
        <v>17</v>
      </c>
      <c r="F130">
        <v>86.8</v>
      </c>
      <c r="G130">
        <v>9</v>
      </c>
      <c r="H130">
        <v>1.2</v>
      </c>
      <c r="I130" t="s">
        <v>14</v>
      </c>
      <c r="J130">
        <v>8</v>
      </c>
      <c r="K130">
        <v>8.1999999999999993</v>
      </c>
      <c r="L130" t="s">
        <v>18</v>
      </c>
    </row>
    <row r="131" spans="1:12" x14ac:dyDescent="0.3">
      <c r="A131">
        <v>1130</v>
      </c>
      <c r="B131" t="s">
        <v>16</v>
      </c>
      <c r="C131">
        <v>20</v>
      </c>
      <c r="D131" t="s">
        <v>13</v>
      </c>
      <c r="E131">
        <v>12</v>
      </c>
      <c r="F131">
        <v>83.2</v>
      </c>
      <c r="G131">
        <v>6</v>
      </c>
      <c r="H131">
        <v>1.21</v>
      </c>
      <c r="I131" t="s">
        <v>19</v>
      </c>
      <c r="J131">
        <v>3</v>
      </c>
      <c r="K131">
        <v>5.6</v>
      </c>
      <c r="L131" t="s">
        <v>18</v>
      </c>
    </row>
    <row r="132" spans="1:12" x14ac:dyDescent="0.3">
      <c r="A132">
        <v>1131</v>
      </c>
      <c r="B132" t="s">
        <v>12</v>
      </c>
      <c r="C132">
        <v>23</v>
      </c>
      <c r="D132" t="s">
        <v>13</v>
      </c>
      <c r="E132">
        <v>17</v>
      </c>
      <c r="F132">
        <v>86.2</v>
      </c>
      <c r="G132">
        <v>7</v>
      </c>
      <c r="H132">
        <v>1.23</v>
      </c>
      <c r="I132" t="s">
        <v>17</v>
      </c>
      <c r="J132">
        <v>2</v>
      </c>
      <c r="K132">
        <v>4.7</v>
      </c>
      <c r="L132" t="s">
        <v>15</v>
      </c>
    </row>
    <row r="133" spans="1:12" x14ac:dyDescent="0.3">
      <c r="A133">
        <v>1132</v>
      </c>
      <c r="B133" t="s">
        <v>16</v>
      </c>
      <c r="C133">
        <v>23</v>
      </c>
      <c r="D133" t="s">
        <v>13</v>
      </c>
      <c r="E133">
        <v>9</v>
      </c>
      <c r="F133">
        <v>90</v>
      </c>
      <c r="G133">
        <v>9</v>
      </c>
      <c r="H133">
        <v>1.1100000000000001</v>
      </c>
      <c r="I133" t="s">
        <v>17</v>
      </c>
      <c r="J133">
        <v>2</v>
      </c>
      <c r="K133">
        <v>8.9</v>
      </c>
      <c r="L133" t="s">
        <v>15</v>
      </c>
    </row>
    <row r="134" spans="1:12" x14ac:dyDescent="0.3">
      <c r="A134">
        <v>1133</v>
      </c>
      <c r="B134" t="s">
        <v>12</v>
      </c>
      <c r="C134">
        <v>22</v>
      </c>
      <c r="D134" t="s">
        <v>13</v>
      </c>
      <c r="E134">
        <v>15</v>
      </c>
      <c r="F134">
        <v>90.8</v>
      </c>
      <c r="G134">
        <v>5</v>
      </c>
      <c r="H134">
        <v>1.51</v>
      </c>
      <c r="I134" t="s">
        <v>19</v>
      </c>
      <c r="J134">
        <v>10</v>
      </c>
      <c r="K134">
        <v>6.2</v>
      </c>
      <c r="L134" t="s">
        <v>18</v>
      </c>
    </row>
    <row r="135" spans="1:12" x14ac:dyDescent="0.3">
      <c r="A135">
        <v>1134</v>
      </c>
      <c r="B135" t="s">
        <v>12</v>
      </c>
      <c r="C135">
        <v>20</v>
      </c>
      <c r="D135" t="s">
        <v>13</v>
      </c>
      <c r="E135">
        <v>16</v>
      </c>
      <c r="F135">
        <v>91</v>
      </c>
      <c r="G135">
        <v>8</v>
      </c>
      <c r="H135">
        <v>1.77</v>
      </c>
      <c r="I135" t="s">
        <v>17</v>
      </c>
      <c r="J135">
        <v>6</v>
      </c>
      <c r="K135">
        <v>8.6</v>
      </c>
      <c r="L135" t="s">
        <v>15</v>
      </c>
    </row>
    <row r="136" spans="1:12" x14ac:dyDescent="0.3">
      <c r="A136">
        <v>1135</v>
      </c>
      <c r="B136" t="s">
        <v>12</v>
      </c>
      <c r="C136">
        <v>18</v>
      </c>
      <c r="D136" t="s">
        <v>13</v>
      </c>
      <c r="E136">
        <v>15</v>
      </c>
      <c r="F136">
        <v>82.2</v>
      </c>
      <c r="G136">
        <v>6</v>
      </c>
      <c r="H136">
        <v>1.47</v>
      </c>
      <c r="I136" t="s">
        <v>19</v>
      </c>
      <c r="J136">
        <v>3</v>
      </c>
      <c r="K136">
        <v>5.0999999999999996</v>
      </c>
      <c r="L136" t="s">
        <v>18</v>
      </c>
    </row>
    <row r="137" spans="1:12" x14ac:dyDescent="0.3">
      <c r="A137">
        <v>1136</v>
      </c>
      <c r="B137" t="s">
        <v>16</v>
      </c>
      <c r="C137">
        <v>24</v>
      </c>
      <c r="D137" t="s">
        <v>13</v>
      </c>
      <c r="E137">
        <v>16</v>
      </c>
      <c r="F137">
        <v>85.1</v>
      </c>
      <c r="G137">
        <v>5</v>
      </c>
      <c r="H137">
        <v>1.32</v>
      </c>
      <c r="I137" t="s">
        <v>14</v>
      </c>
      <c r="J137">
        <v>5</v>
      </c>
      <c r="K137">
        <v>7.4</v>
      </c>
      <c r="L137" t="s">
        <v>15</v>
      </c>
    </row>
    <row r="138" spans="1:12" x14ac:dyDescent="0.3">
      <c r="A138">
        <v>1137</v>
      </c>
      <c r="B138" t="s">
        <v>16</v>
      </c>
      <c r="C138">
        <v>21</v>
      </c>
      <c r="D138" t="s">
        <v>13</v>
      </c>
      <c r="E138">
        <v>9</v>
      </c>
      <c r="F138">
        <v>88</v>
      </c>
      <c r="G138">
        <v>10</v>
      </c>
      <c r="H138">
        <v>1.21</v>
      </c>
      <c r="I138" t="s">
        <v>14</v>
      </c>
      <c r="J138">
        <v>3</v>
      </c>
      <c r="K138">
        <v>5.9</v>
      </c>
      <c r="L138" t="s">
        <v>15</v>
      </c>
    </row>
    <row r="139" spans="1:12" x14ac:dyDescent="0.3">
      <c r="A139">
        <v>1138</v>
      </c>
      <c r="B139" t="s">
        <v>12</v>
      </c>
      <c r="C139">
        <v>18</v>
      </c>
      <c r="D139" t="s">
        <v>13</v>
      </c>
      <c r="E139">
        <v>21</v>
      </c>
      <c r="F139">
        <v>85.3</v>
      </c>
      <c r="G139">
        <v>7</v>
      </c>
      <c r="H139">
        <v>1.1499999999999999</v>
      </c>
      <c r="I139" t="s">
        <v>14</v>
      </c>
      <c r="J139">
        <v>5</v>
      </c>
      <c r="K139">
        <v>7.9</v>
      </c>
      <c r="L139" t="s">
        <v>15</v>
      </c>
    </row>
    <row r="140" spans="1:12" x14ac:dyDescent="0.3">
      <c r="A140">
        <v>1139</v>
      </c>
      <c r="B140" t="s">
        <v>16</v>
      </c>
      <c r="C140">
        <v>19</v>
      </c>
      <c r="D140" t="s">
        <v>13</v>
      </c>
      <c r="E140">
        <v>15</v>
      </c>
      <c r="F140">
        <v>91.6</v>
      </c>
      <c r="G140">
        <v>7</v>
      </c>
      <c r="H140">
        <v>1.57</v>
      </c>
      <c r="I140" t="s">
        <v>17</v>
      </c>
      <c r="J140">
        <v>10</v>
      </c>
      <c r="K140">
        <v>7.1</v>
      </c>
      <c r="L140" t="s">
        <v>18</v>
      </c>
    </row>
    <row r="141" spans="1:12" x14ac:dyDescent="0.3">
      <c r="A141">
        <v>1140</v>
      </c>
      <c r="B141" t="s">
        <v>12</v>
      </c>
      <c r="C141">
        <v>24</v>
      </c>
      <c r="D141" t="s">
        <v>13</v>
      </c>
      <c r="E141">
        <v>17</v>
      </c>
      <c r="F141">
        <v>89.6</v>
      </c>
      <c r="G141">
        <v>10</v>
      </c>
      <c r="H141">
        <v>1.1299999999999999</v>
      </c>
      <c r="I141" t="s">
        <v>14</v>
      </c>
      <c r="J141">
        <v>6</v>
      </c>
      <c r="K141">
        <v>5.7</v>
      </c>
      <c r="L141"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A6" sqref="A6"/>
    </sheetView>
  </sheetViews>
  <sheetFormatPr defaultColWidth="6.5546875" defaultRowHeight="14.4" x14ac:dyDescent="0.3"/>
  <cols>
    <col min="1" max="1" width="11.33203125" bestFit="1" customWidth="1"/>
    <col min="2" max="2" width="157.6640625" bestFit="1" customWidth="1"/>
  </cols>
  <sheetData>
    <row r="1" spans="1:2" x14ac:dyDescent="0.3">
      <c r="A1" s="1" t="s">
        <v>20</v>
      </c>
      <c r="B1" s="1" t="s">
        <v>21</v>
      </c>
    </row>
    <row r="2" spans="1:2" x14ac:dyDescent="0.3">
      <c r="A2" t="s">
        <v>22</v>
      </c>
      <c r="B2" t="s">
        <v>58</v>
      </c>
    </row>
    <row r="3" spans="1:2" x14ac:dyDescent="0.3">
      <c r="A3" t="s">
        <v>23</v>
      </c>
      <c r="B3" t="s">
        <v>59</v>
      </c>
    </row>
    <row r="4" spans="1:2" x14ac:dyDescent="0.3">
      <c r="A4" t="s">
        <v>24</v>
      </c>
      <c r="B4" t="s">
        <v>60</v>
      </c>
    </row>
    <row r="5" spans="1:2" x14ac:dyDescent="0.3">
      <c r="A5" t="s">
        <v>25</v>
      </c>
      <c r="B5" s="8" t="s">
        <v>26</v>
      </c>
    </row>
    <row r="6" spans="1:2" x14ac:dyDescent="0.3">
      <c r="A6" t="s">
        <v>27</v>
      </c>
      <c r="B6" s="8">
        <v>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1"/>
  <sheetViews>
    <sheetView topLeftCell="A93" workbookViewId="0">
      <selection activeCell="F137" sqref="F137"/>
    </sheetView>
  </sheetViews>
  <sheetFormatPr defaultRowHeight="14.4" x14ac:dyDescent="0.3"/>
  <cols>
    <col min="1" max="1" width="14.88671875" bestFit="1" customWidth="1"/>
    <col min="2" max="2" width="11.5546875" bestFit="1" customWidth="1"/>
    <col min="3" max="3" width="8.6640625" bestFit="1" customWidth="1"/>
    <col min="4" max="4" width="15.77734375" bestFit="1" customWidth="1"/>
    <col min="5" max="5" width="26.109375" bestFit="1" customWidth="1"/>
    <col min="6" max="6" width="26" bestFit="1" customWidth="1"/>
    <col min="7" max="7" width="26.5546875" bestFit="1" customWidth="1"/>
    <col min="8" max="8" width="9" bestFit="1" customWidth="1"/>
    <col min="9" max="9" width="21.6640625" bestFit="1" customWidth="1"/>
    <col min="10" max="10" width="15.6640625" bestFit="1" customWidth="1"/>
    <col min="11" max="11" width="15.88671875" bestFit="1" customWidth="1"/>
    <col min="12" max="12" width="13.21875" bestFit="1" customWidth="1"/>
    <col min="13" max="13" width="22.6640625" bestFit="1" customWidth="1"/>
    <col min="14" max="14" width="12.88671875" bestFit="1" customWidth="1"/>
    <col min="15" max="15" width="15.77734375" bestFit="1" customWidth="1"/>
    <col min="16" max="16" width="25.109375" bestFit="1" customWidth="1"/>
  </cols>
  <sheetData>
    <row r="1" spans="1:16" x14ac:dyDescent="0.3">
      <c r="A1" s="2" t="s">
        <v>0</v>
      </c>
      <c r="B1" s="2" t="s">
        <v>1</v>
      </c>
      <c r="C1" s="2" t="s">
        <v>2</v>
      </c>
      <c r="D1" s="2" t="s">
        <v>3</v>
      </c>
      <c r="E1" s="3" t="s">
        <v>4</v>
      </c>
      <c r="F1" s="5" t="s">
        <v>5</v>
      </c>
      <c r="G1" s="2" t="s">
        <v>6</v>
      </c>
      <c r="H1" s="3" t="s">
        <v>7</v>
      </c>
      <c r="I1" s="2" t="s">
        <v>8</v>
      </c>
      <c r="J1" s="2" t="s">
        <v>9</v>
      </c>
      <c r="K1" s="2" t="s">
        <v>10</v>
      </c>
      <c r="L1" s="2" t="s">
        <v>11</v>
      </c>
      <c r="M1" s="2" t="s">
        <v>29</v>
      </c>
      <c r="N1" s="2" t="s">
        <v>30</v>
      </c>
      <c r="O1" s="2" t="s">
        <v>31</v>
      </c>
      <c r="P1" s="2" t="s">
        <v>61</v>
      </c>
    </row>
    <row r="2" spans="1:16" hidden="1" x14ac:dyDescent="0.3">
      <c r="A2">
        <v>1001</v>
      </c>
      <c r="B2" t="s">
        <v>12</v>
      </c>
      <c r="C2">
        <v>20</v>
      </c>
      <c r="D2" t="s">
        <v>13</v>
      </c>
      <c r="E2" s="7">
        <v>18</v>
      </c>
      <c r="F2" s="6">
        <v>86.9</v>
      </c>
      <c r="G2">
        <v>6</v>
      </c>
      <c r="H2" s="4">
        <v>1.05</v>
      </c>
      <c r="I2" t="s">
        <v>14</v>
      </c>
      <c r="J2">
        <v>3</v>
      </c>
      <c r="K2">
        <v>5.9</v>
      </c>
      <c r="L2" t="s">
        <v>15</v>
      </c>
      <c r="M2" t="str">
        <f>IF(Table1[[#This Row],[Study_Hours_per_Week]]&lt;=5, "0-5",
 IF(Table1[[#This Row],[Study_Hours_per_Week]]&lt;=10, "6-10",
 IF(Table1[[#This Row],[Study_Hours_per_Week]]&lt;=15, "11-15",
 IF(Table1[[#This Row],[Study_Hours_per_Week]]&lt;=20, "16-20", "21+"))))</f>
        <v>16-20</v>
      </c>
      <c r="N2" t="str">
        <f>IF(Table1[[#This Row],[GPA]] &gt;= 2, "Pass", "Fail")</f>
        <v>Fail</v>
      </c>
      <c r="O2">
        <v>0.89400000000000002</v>
      </c>
      <c r="P2" t="str">
        <f t="shared" ref="P2:P33" si="0">IF(H2&gt;=1.8,"Excellent",IF(H2&gt;=1.4,"Good",IF(H2&gt;=1,"Average","Below Average")))</f>
        <v>Average</v>
      </c>
    </row>
    <row r="3" spans="1:16" hidden="1" x14ac:dyDescent="0.3">
      <c r="A3">
        <v>1002</v>
      </c>
      <c r="B3" t="s">
        <v>16</v>
      </c>
      <c r="C3">
        <v>22</v>
      </c>
      <c r="D3" t="s">
        <v>13</v>
      </c>
      <c r="E3" s="7">
        <v>18</v>
      </c>
      <c r="F3" s="6">
        <v>86.9</v>
      </c>
      <c r="G3">
        <v>7</v>
      </c>
      <c r="H3" s="4">
        <v>1.1399999999999999</v>
      </c>
      <c r="I3" t="s">
        <v>17</v>
      </c>
      <c r="J3">
        <v>10</v>
      </c>
      <c r="K3">
        <v>6.9</v>
      </c>
      <c r="L3" t="s">
        <v>18</v>
      </c>
      <c r="M3" t="str">
        <f>IF(Table1[[#This Row],[Study_Hours_per_Week]]&lt;=5, "0-5",
 IF(Table1[[#This Row],[Study_Hours_per_Week]]&lt;=10, "6-10",
 IF(Table1[[#This Row],[Study_Hours_per_Week]]&lt;=15, "11-15",
 IF(Table1[[#This Row],[Study_Hours_per_Week]]&lt;=20, "16-20", "21+"))))</f>
        <v>16-20</v>
      </c>
      <c r="N3" t="str">
        <f>IF(Table1[[#This Row],[GPA]] &gt;= 2, "Pass", "Fail")</f>
        <v>Fail</v>
      </c>
      <c r="O3">
        <v>0.86299999999999999</v>
      </c>
      <c r="P3" t="str">
        <f t="shared" si="0"/>
        <v>Average</v>
      </c>
    </row>
    <row r="4" spans="1:16" hidden="1" x14ac:dyDescent="0.3">
      <c r="A4">
        <v>1003</v>
      </c>
      <c r="B4" t="s">
        <v>12</v>
      </c>
      <c r="C4">
        <v>19</v>
      </c>
      <c r="D4" t="s">
        <v>13</v>
      </c>
      <c r="E4" s="7">
        <v>18</v>
      </c>
      <c r="F4" s="6">
        <v>86.9</v>
      </c>
      <c r="G4">
        <v>6</v>
      </c>
      <c r="H4" s="4">
        <v>0.98</v>
      </c>
      <c r="I4" t="s">
        <v>14</v>
      </c>
      <c r="J4">
        <v>8</v>
      </c>
      <c r="K4">
        <v>6.5</v>
      </c>
      <c r="L4" t="s">
        <v>15</v>
      </c>
      <c r="M4" t="str">
        <f>IF(Table1[[#This Row],[Study_Hours_per_Week]]&lt;=5, "0-5",
 IF(Table1[[#This Row],[Study_Hours_per_Week]]&lt;=10, "6-10",
 IF(Table1[[#This Row],[Study_Hours_per_Week]]&lt;=15, "11-15",
 IF(Table1[[#This Row],[Study_Hours_per_Week]]&lt;=20, "16-20", "21+"))))</f>
        <v>16-20</v>
      </c>
      <c r="N4" t="str">
        <f>IF(Table1[[#This Row],[GPA]] &gt;= 2, "Pass", "Fail")</f>
        <v>Fail</v>
      </c>
      <c r="O4">
        <v>0.83599999999999997</v>
      </c>
      <c r="P4" t="str">
        <f t="shared" si="0"/>
        <v>Below Average</v>
      </c>
    </row>
    <row r="5" spans="1:16" hidden="1" x14ac:dyDescent="0.3">
      <c r="A5">
        <v>1004</v>
      </c>
      <c r="B5" t="s">
        <v>16</v>
      </c>
      <c r="C5">
        <v>23</v>
      </c>
      <c r="D5" t="s">
        <v>13</v>
      </c>
      <c r="E5" s="7">
        <v>18</v>
      </c>
      <c r="F5" s="6">
        <v>86.9</v>
      </c>
      <c r="G5">
        <v>10</v>
      </c>
      <c r="H5" s="4">
        <v>0.76</v>
      </c>
      <c r="I5" t="s">
        <v>14</v>
      </c>
      <c r="J5">
        <v>4</v>
      </c>
      <c r="K5">
        <v>6.2</v>
      </c>
      <c r="L5" t="s">
        <v>15</v>
      </c>
      <c r="M5" t="str">
        <f>IF(Table1[[#This Row],[Study_Hours_per_Week]]&lt;=5, "0-5",
 IF(Table1[[#This Row],[Study_Hours_per_Week]]&lt;=10, "6-10",
 IF(Table1[[#This Row],[Study_Hours_per_Week]]&lt;=15, "11-15",
 IF(Table1[[#This Row],[Study_Hours_per_Week]]&lt;=20, "16-20", "21+"))))</f>
        <v>16-20</v>
      </c>
      <c r="N5" t="str">
        <f>IF(Table1[[#This Row],[GPA]] &gt;= 2, "Pass", "Fail")</f>
        <v>Fail</v>
      </c>
      <c r="O5">
        <v>0.69</v>
      </c>
      <c r="P5" t="str">
        <f t="shared" si="0"/>
        <v>Below Average</v>
      </c>
    </row>
    <row r="6" spans="1:16" x14ac:dyDescent="0.3">
      <c r="A6">
        <v>1005</v>
      </c>
      <c r="B6" t="s">
        <v>12</v>
      </c>
      <c r="C6">
        <v>24</v>
      </c>
      <c r="D6" t="s">
        <v>13</v>
      </c>
      <c r="E6" s="7">
        <v>18</v>
      </c>
      <c r="F6" s="6">
        <v>86.9</v>
      </c>
      <c r="G6">
        <v>8</v>
      </c>
      <c r="H6" s="4">
        <v>1.1200000000000001</v>
      </c>
      <c r="I6" t="s">
        <v>17</v>
      </c>
      <c r="J6">
        <v>6</v>
      </c>
      <c r="K6">
        <v>7.4</v>
      </c>
      <c r="L6" t="s">
        <v>15</v>
      </c>
      <c r="M6" t="str">
        <f>IF(Table1[[#This Row],[Study_Hours_per_Week]]&lt;=5, "0-5",
 IF(Table1[[#This Row],[Study_Hours_per_Week]]&lt;=10, "6-10",
 IF(Table1[[#This Row],[Study_Hours_per_Week]]&lt;=15, "11-15",
 IF(Table1[[#This Row],[Study_Hours_per_Week]]&lt;=20, "16-20", "21+"))))</f>
        <v>16-20</v>
      </c>
      <c r="N6" t="str">
        <f>IF(Table1[[#This Row],[GPA]] &gt;= 2, "Pass", "Fail")</f>
        <v>Fail</v>
      </c>
      <c r="O6">
        <v>0.86599999999999999</v>
      </c>
      <c r="P6" t="str">
        <f t="shared" si="0"/>
        <v>Average</v>
      </c>
    </row>
    <row r="7" spans="1:16" hidden="1" x14ac:dyDescent="0.3">
      <c r="A7">
        <v>1006</v>
      </c>
      <c r="B7" t="s">
        <v>12</v>
      </c>
      <c r="C7">
        <v>19</v>
      </c>
      <c r="D7" t="s">
        <v>13</v>
      </c>
      <c r="E7" s="7">
        <v>18</v>
      </c>
      <c r="F7" s="6">
        <v>86.9</v>
      </c>
      <c r="G7">
        <v>6</v>
      </c>
      <c r="H7" s="4">
        <v>1.08</v>
      </c>
      <c r="I7" t="s">
        <v>14</v>
      </c>
      <c r="J7">
        <v>6</v>
      </c>
      <c r="K7">
        <v>7.9</v>
      </c>
      <c r="L7" t="s">
        <v>18</v>
      </c>
      <c r="M7" t="str">
        <f>IF(Table1[[#This Row],[Study_Hours_per_Week]]&lt;=5, "0-5",
 IF(Table1[[#This Row],[Study_Hours_per_Week]]&lt;=10, "6-10",
 IF(Table1[[#This Row],[Study_Hours_per_Week]]&lt;=15, "11-15",
 IF(Table1[[#This Row],[Study_Hours_per_Week]]&lt;=20, "16-20", "21+"))))</f>
        <v>16-20</v>
      </c>
      <c r="N7" t="str">
        <f>IF(Table1[[#This Row],[GPA]] &gt;= 2, "Pass", "Fail")</f>
        <v>Fail</v>
      </c>
      <c r="O7">
        <v>0.92100000000000004</v>
      </c>
      <c r="P7" t="str">
        <f t="shared" si="0"/>
        <v>Average</v>
      </c>
    </row>
    <row r="8" spans="1:16" hidden="1" x14ac:dyDescent="0.3">
      <c r="A8">
        <v>1007</v>
      </c>
      <c r="B8" t="s">
        <v>12</v>
      </c>
      <c r="C8">
        <v>20</v>
      </c>
      <c r="D8" t="s">
        <v>13</v>
      </c>
      <c r="E8" s="7">
        <v>18</v>
      </c>
      <c r="F8" s="6">
        <v>86.9</v>
      </c>
      <c r="G8">
        <v>8</v>
      </c>
      <c r="H8" s="4">
        <v>0.83</v>
      </c>
      <c r="I8" t="s">
        <v>19</v>
      </c>
      <c r="J8">
        <v>7</v>
      </c>
      <c r="K8">
        <v>7.4</v>
      </c>
      <c r="L8" t="s">
        <v>18</v>
      </c>
      <c r="M8" t="str">
        <f>IF(Table1[[#This Row],[Study_Hours_per_Week]]&lt;=5, "0-5",
 IF(Table1[[#This Row],[Study_Hours_per_Week]]&lt;=10, "6-10",
 IF(Table1[[#This Row],[Study_Hours_per_Week]]&lt;=15, "11-15",
 IF(Table1[[#This Row],[Study_Hours_per_Week]]&lt;=20, "16-20", "21+"))))</f>
        <v>16-20</v>
      </c>
      <c r="N8" t="str">
        <f>IF(Table1[[#This Row],[GPA]] &gt;= 2, "Pass", "Fail")</f>
        <v>Fail</v>
      </c>
      <c r="O8">
        <v>0.76500000000000001</v>
      </c>
      <c r="P8" t="str">
        <f t="shared" si="0"/>
        <v>Below Average</v>
      </c>
    </row>
    <row r="9" spans="1:16" hidden="1" x14ac:dyDescent="0.3">
      <c r="A9">
        <v>1008</v>
      </c>
      <c r="B9" t="s">
        <v>16</v>
      </c>
      <c r="C9">
        <v>22</v>
      </c>
      <c r="D9" t="s">
        <v>13</v>
      </c>
      <c r="E9" s="7">
        <v>18</v>
      </c>
      <c r="F9" s="6">
        <v>86.9</v>
      </c>
      <c r="G9">
        <v>7</v>
      </c>
      <c r="H9" s="4">
        <v>0.69</v>
      </c>
      <c r="I9" t="s">
        <v>17</v>
      </c>
      <c r="J9">
        <v>5</v>
      </c>
      <c r="K9">
        <v>6.8</v>
      </c>
      <c r="L9" t="s">
        <v>18</v>
      </c>
      <c r="M9" t="str">
        <f>IF(Table1[[#This Row],[Study_Hours_per_Week]]&lt;=5, "0-5",
 IF(Table1[[#This Row],[Study_Hours_per_Week]]&lt;=10, "6-10",
 IF(Table1[[#This Row],[Study_Hours_per_Week]]&lt;=15, "11-15",
 IF(Table1[[#This Row],[Study_Hours_per_Week]]&lt;=20, "16-20", "21+"))))</f>
        <v>16-20</v>
      </c>
      <c r="N9" t="str">
        <f>IF(Table1[[#This Row],[GPA]] &gt;= 2, "Pass", "Fail")</f>
        <v>Fail</v>
      </c>
      <c r="O9">
        <v>0.65600000000000003</v>
      </c>
      <c r="P9" t="str">
        <f t="shared" si="0"/>
        <v>Below Average</v>
      </c>
    </row>
    <row r="10" spans="1:16" hidden="1" x14ac:dyDescent="0.3">
      <c r="A10">
        <v>1009</v>
      </c>
      <c r="B10" t="s">
        <v>12</v>
      </c>
      <c r="C10">
        <v>23</v>
      </c>
      <c r="D10" t="s">
        <v>13</v>
      </c>
      <c r="E10" s="7">
        <v>18</v>
      </c>
      <c r="F10" s="6">
        <v>86.9</v>
      </c>
      <c r="G10">
        <v>7</v>
      </c>
      <c r="H10" s="4">
        <v>0.56000000000000005</v>
      </c>
      <c r="I10" t="s">
        <v>14</v>
      </c>
      <c r="J10">
        <v>5</v>
      </c>
      <c r="K10">
        <v>6.1</v>
      </c>
      <c r="L10" t="s">
        <v>18</v>
      </c>
      <c r="M10" t="str">
        <f>IF(Table1[[#This Row],[Study_Hours_per_Week]]&lt;=5, "0-5",
 IF(Table1[[#This Row],[Study_Hours_per_Week]]&lt;=10, "6-10",
 IF(Table1[[#This Row],[Study_Hours_per_Week]]&lt;=15, "11-15",
 IF(Table1[[#This Row],[Study_Hours_per_Week]]&lt;=20, "16-20", "21+"))))</f>
        <v>16-20</v>
      </c>
      <c r="N10" t="str">
        <f>IF(Table1[[#This Row],[GPA]] &gt;= 2, "Pass", "Fail")</f>
        <v>Fail</v>
      </c>
      <c r="O10">
        <v>0.63</v>
      </c>
      <c r="P10" t="str">
        <f t="shared" si="0"/>
        <v>Below Average</v>
      </c>
    </row>
    <row r="11" spans="1:16" hidden="1" x14ac:dyDescent="0.3">
      <c r="A11">
        <v>1010</v>
      </c>
      <c r="B11" t="s">
        <v>16</v>
      </c>
      <c r="C11">
        <v>18</v>
      </c>
      <c r="D11" t="s">
        <v>13</v>
      </c>
      <c r="E11" s="7">
        <v>18</v>
      </c>
      <c r="F11" s="6">
        <v>86.9</v>
      </c>
      <c r="G11">
        <v>10</v>
      </c>
      <c r="H11" s="4">
        <v>1.1299999999999999</v>
      </c>
      <c r="I11" t="s">
        <v>14</v>
      </c>
      <c r="J11">
        <v>5</v>
      </c>
      <c r="K11">
        <v>9</v>
      </c>
      <c r="L11" t="s">
        <v>18</v>
      </c>
      <c r="M11" t="str">
        <f>IF(Table1[[#This Row],[Study_Hours_per_Week]]&lt;=5, "0-5",
 IF(Table1[[#This Row],[Study_Hours_per_Week]]&lt;=10, "6-10",
 IF(Table1[[#This Row],[Study_Hours_per_Week]]&lt;=15, "11-15",
 IF(Table1[[#This Row],[Study_Hours_per_Week]]&lt;=20, "16-20", "21+"))))</f>
        <v>16-20</v>
      </c>
      <c r="N11" t="str">
        <f>IF(Table1[[#This Row],[GPA]] &gt;= 2, "Pass", "Fail")</f>
        <v>Fail</v>
      </c>
      <c r="O11">
        <v>0.92600000000000005</v>
      </c>
      <c r="P11" t="str">
        <f t="shared" si="0"/>
        <v>Average</v>
      </c>
    </row>
    <row r="12" spans="1:16" hidden="1" x14ac:dyDescent="0.3">
      <c r="A12">
        <v>1011</v>
      </c>
      <c r="B12" t="s">
        <v>16</v>
      </c>
      <c r="C12">
        <v>21</v>
      </c>
      <c r="D12" t="s">
        <v>13</v>
      </c>
      <c r="E12" s="7">
        <v>18</v>
      </c>
      <c r="F12" s="6">
        <v>86.9</v>
      </c>
      <c r="G12">
        <v>10</v>
      </c>
      <c r="H12" s="4">
        <v>0.92</v>
      </c>
      <c r="I12" t="s">
        <v>14</v>
      </c>
      <c r="J12">
        <v>5</v>
      </c>
      <c r="K12">
        <v>6</v>
      </c>
      <c r="L12" t="s">
        <v>18</v>
      </c>
      <c r="M12" t="str">
        <f>IF(Table1[[#This Row],[Study_Hours_per_Week]]&lt;=5, "0-5",
 IF(Table1[[#This Row],[Study_Hours_per_Week]]&lt;=10, "6-10",
 IF(Table1[[#This Row],[Study_Hours_per_Week]]&lt;=15, "11-15",
 IF(Table1[[#This Row],[Study_Hours_per_Week]]&lt;=20, "16-20", "21+"))))</f>
        <v>16-20</v>
      </c>
      <c r="N12" t="str">
        <f>IF(Table1[[#This Row],[GPA]] &gt;= 2, "Pass", "Fail")</f>
        <v>Fail</v>
      </c>
      <c r="O12">
        <v>0.80300000000000005</v>
      </c>
      <c r="P12" t="str">
        <f t="shared" si="0"/>
        <v>Below Average</v>
      </c>
    </row>
    <row r="13" spans="1:16" hidden="1" x14ac:dyDescent="0.3">
      <c r="A13">
        <v>1012</v>
      </c>
      <c r="B13" t="s">
        <v>12</v>
      </c>
      <c r="C13">
        <v>23</v>
      </c>
      <c r="D13" t="s">
        <v>13</v>
      </c>
      <c r="E13" s="7">
        <v>18</v>
      </c>
      <c r="F13" s="6">
        <v>86.9</v>
      </c>
      <c r="G13">
        <v>4</v>
      </c>
      <c r="H13" s="4">
        <v>1.68</v>
      </c>
      <c r="I13" t="s">
        <v>14</v>
      </c>
      <c r="J13">
        <v>3</v>
      </c>
      <c r="K13">
        <v>8</v>
      </c>
      <c r="L13" t="s">
        <v>15</v>
      </c>
      <c r="M13" t="str">
        <f>IF(Table1[[#This Row],[Study_Hours_per_Week]]&lt;=5, "0-5",
 IF(Table1[[#This Row],[Study_Hours_per_Week]]&lt;=10, "6-10",
 IF(Table1[[#This Row],[Study_Hours_per_Week]]&lt;=15, "11-15",
 IF(Table1[[#This Row],[Study_Hours_per_Week]]&lt;=20, "16-20", "21+"))))</f>
        <v>16-20</v>
      </c>
      <c r="N13" t="str">
        <f>IF(Table1[[#This Row],[GPA]] &gt;= 2, "Pass", "Fail")</f>
        <v>Fail</v>
      </c>
      <c r="O13">
        <v>1.3129999999999999</v>
      </c>
      <c r="P13" t="str">
        <f t="shared" si="0"/>
        <v>Good</v>
      </c>
    </row>
    <row r="14" spans="1:16" hidden="1" x14ac:dyDescent="0.3">
      <c r="A14">
        <v>1013</v>
      </c>
      <c r="B14" t="s">
        <v>12</v>
      </c>
      <c r="C14">
        <v>23</v>
      </c>
      <c r="D14" t="s">
        <v>13</v>
      </c>
      <c r="E14" s="7">
        <v>18</v>
      </c>
      <c r="F14" s="6">
        <v>86.9</v>
      </c>
      <c r="G14">
        <v>10</v>
      </c>
      <c r="H14" s="4">
        <v>1.44</v>
      </c>
      <c r="I14" t="s">
        <v>14</v>
      </c>
      <c r="J14">
        <v>3</v>
      </c>
      <c r="K14">
        <v>7.1</v>
      </c>
      <c r="L14" t="s">
        <v>18</v>
      </c>
      <c r="M14" t="str">
        <f>IF(Table1[[#This Row],[Study_Hours_per_Week]]&lt;=5, "0-5",
 IF(Table1[[#This Row],[Study_Hours_per_Week]]&lt;=10, "6-10",
 IF(Table1[[#This Row],[Study_Hours_per_Week]]&lt;=15, "11-15",
 IF(Table1[[#This Row],[Study_Hours_per_Week]]&lt;=20, "16-20", "21+"))))</f>
        <v>16-20</v>
      </c>
      <c r="N14" t="str">
        <f>IF(Table1[[#This Row],[GPA]] &gt;= 2, "Pass", "Fail")</f>
        <v>Fail</v>
      </c>
      <c r="O14">
        <v>1.085</v>
      </c>
      <c r="P14" t="str">
        <f t="shared" si="0"/>
        <v>Good</v>
      </c>
    </row>
    <row r="15" spans="1:16" hidden="1" x14ac:dyDescent="0.3">
      <c r="A15">
        <v>1014</v>
      </c>
      <c r="B15" t="s">
        <v>16</v>
      </c>
      <c r="C15">
        <v>23</v>
      </c>
      <c r="D15" t="s">
        <v>13</v>
      </c>
      <c r="E15" s="7">
        <v>18</v>
      </c>
      <c r="F15" s="6">
        <v>86.9</v>
      </c>
      <c r="G15">
        <v>3</v>
      </c>
      <c r="H15" s="4">
        <v>1.59</v>
      </c>
      <c r="I15" t="s">
        <v>14</v>
      </c>
      <c r="J15">
        <v>5</v>
      </c>
      <c r="K15">
        <v>5.3</v>
      </c>
      <c r="L15" t="s">
        <v>15</v>
      </c>
      <c r="M15" t="str">
        <f>IF(Table1[[#This Row],[Study_Hours_per_Week]]&lt;=5, "0-5",
 IF(Table1[[#This Row],[Study_Hours_per_Week]]&lt;=10, "6-10",
 IF(Table1[[#This Row],[Study_Hours_per_Week]]&lt;=15, "11-15",
 IF(Table1[[#This Row],[Study_Hours_per_Week]]&lt;=20, "16-20", "21+"))))</f>
        <v>16-20</v>
      </c>
      <c r="N15" t="str">
        <f>IF(Table1[[#This Row],[GPA]] &gt;= 2, "Pass", "Fail")</f>
        <v>Fail</v>
      </c>
      <c r="O15">
        <v>1.244</v>
      </c>
      <c r="P15" t="str">
        <f t="shared" si="0"/>
        <v>Good</v>
      </c>
    </row>
    <row r="16" spans="1:16" x14ac:dyDescent="0.3">
      <c r="A16">
        <v>1015</v>
      </c>
      <c r="B16" t="s">
        <v>16</v>
      </c>
      <c r="C16">
        <v>24</v>
      </c>
      <c r="D16" t="s">
        <v>13</v>
      </c>
      <c r="E16" s="7">
        <v>18</v>
      </c>
      <c r="F16" s="6">
        <v>86.9</v>
      </c>
      <c r="G16">
        <v>9</v>
      </c>
      <c r="H16" s="4">
        <v>1</v>
      </c>
      <c r="I16" t="s">
        <v>17</v>
      </c>
      <c r="J16">
        <v>3</v>
      </c>
      <c r="K16">
        <v>7.4</v>
      </c>
      <c r="L16" t="s">
        <v>15</v>
      </c>
      <c r="M16" t="str">
        <f>IF(Table1[[#This Row],[Study_Hours_per_Week]]&lt;=5, "0-5",
 IF(Table1[[#This Row],[Study_Hours_per_Week]]&lt;=10, "6-10",
 IF(Table1[[#This Row],[Study_Hours_per_Week]]&lt;=15, "11-15",
 IF(Table1[[#This Row],[Study_Hours_per_Week]]&lt;=20, "16-20", "21+"))))</f>
        <v>16-20</v>
      </c>
      <c r="N16" t="str">
        <f>IF(Table1[[#This Row],[GPA]] &gt;= 2, "Pass", "Fail")</f>
        <v>Fail</v>
      </c>
      <c r="O16">
        <v>0.90200000000000002</v>
      </c>
      <c r="P16" t="str">
        <f t="shared" si="0"/>
        <v>Average</v>
      </c>
    </row>
    <row r="17" spans="1:16" hidden="1" x14ac:dyDescent="0.3">
      <c r="A17">
        <v>1016</v>
      </c>
      <c r="B17" t="s">
        <v>12</v>
      </c>
      <c r="C17">
        <v>18</v>
      </c>
      <c r="D17" t="s">
        <v>13</v>
      </c>
      <c r="E17" s="7">
        <v>18</v>
      </c>
      <c r="F17" s="6">
        <v>86.9</v>
      </c>
      <c r="G17">
        <v>6</v>
      </c>
      <c r="H17" s="4">
        <v>1.42</v>
      </c>
      <c r="I17" t="s">
        <v>14</v>
      </c>
      <c r="J17">
        <v>2</v>
      </c>
      <c r="K17">
        <v>7</v>
      </c>
      <c r="L17" t="s">
        <v>18</v>
      </c>
      <c r="M17" t="str">
        <f>IF(Table1[[#This Row],[Study_Hours_per_Week]]&lt;=5, "0-5",
 IF(Table1[[#This Row],[Study_Hours_per_Week]]&lt;=10, "6-10",
 IF(Table1[[#This Row],[Study_Hours_per_Week]]&lt;=15, "11-15",
 IF(Table1[[#This Row],[Study_Hours_per_Week]]&lt;=20, "16-20", "21+"))))</f>
        <v>16-20</v>
      </c>
      <c r="N17" t="str">
        <f>IF(Table1[[#This Row],[GPA]] &gt;= 2, "Pass", "Fail")</f>
        <v>Fail</v>
      </c>
      <c r="O17">
        <v>1.117</v>
      </c>
      <c r="P17" t="str">
        <f t="shared" si="0"/>
        <v>Good</v>
      </c>
    </row>
    <row r="18" spans="1:16" hidden="1" x14ac:dyDescent="0.3">
      <c r="A18">
        <v>1017</v>
      </c>
      <c r="B18" t="s">
        <v>16</v>
      </c>
      <c r="C18">
        <v>23</v>
      </c>
      <c r="D18" t="s">
        <v>13</v>
      </c>
      <c r="E18" s="7">
        <v>18</v>
      </c>
      <c r="F18" s="6">
        <v>86.9</v>
      </c>
      <c r="G18">
        <v>9</v>
      </c>
      <c r="H18" s="4">
        <v>1.28</v>
      </c>
      <c r="I18" t="s">
        <v>14</v>
      </c>
      <c r="J18">
        <v>2</v>
      </c>
      <c r="K18">
        <v>6.7</v>
      </c>
      <c r="L18" t="s">
        <v>18</v>
      </c>
      <c r="M18" t="str">
        <f>IF(Table1[[#This Row],[Study_Hours_per_Week]]&lt;=5, "0-5",
 IF(Table1[[#This Row],[Study_Hours_per_Week]]&lt;=10, "6-10",
 IF(Table1[[#This Row],[Study_Hours_per_Week]]&lt;=15, "11-15",
 IF(Table1[[#This Row],[Study_Hours_per_Week]]&lt;=20, "16-20", "21+"))))</f>
        <v>16-20</v>
      </c>
      <c r="N18" t="str">
        <f>IF(Table1[[#This Row],[GPA]] &gt;= 2, "Pass", "Fail")</f>
        <v>Fail</v>
      </c>
      <c r="O18">
        <v>1.0249999999999999</v>
      </c>
      <c r="P18" t="str">
        <f t="shared" si="0"/>
        <v>Average</v>
      </c>
    </row>
    <row r="19" spans="1:16" hidden="1" x14ac:dyDescent="0.3">
      <c r="A19">
        <v>1018</v>
      </c>
      <c r="B19" t="s">
        <v>16</v>
      </c>
      <c r="C19">
        <v>22</v>
      </c>
      <c r="D19" t="s">
        <v>13</v>
      </c>
      <c r="E19" s="7">
        <v>18</v>
      </c>
      <c r="F19" s="6">
        <v>86.9</v>
      </c>
      <c r="G19">
        <v>10</v>
      </c>
      <c r="H19" s="4">
        <v>1.2</v>
      </c>
      <c r="I19" t="s">
        <v>14</v>
      </c>
      <c r="J19">
        <v>6</v>
      </c>
      <c r="K19">
        <v>7.6</v>
      </c>
      <c r="L19" t="s">
        <v>18</v>
      </c>
      <c r="M19" t="str">
        <f>IF(Table1[[#This Row],[Study_Hours_per_Week]]&lt;=5, "0-5",
 IF(Table1[[#This Row],[Study_Hours_per_Week]]&lt;=10, "6-10",
 IF(Table1[[#This Row],[Study_Hours_per_Week]]&lt;=15, "11-15",
 IF(Table1[[#This Row],[Study_Hours_per_Week]]&lt;=20, "16-20", "21+"))))</f>
        <v>16-20</v>
      </c>
      <c r="N19" t="str">
        <f>IF(Table1[[#This Row],[GPA]] &gt;= 2, "Pass", "Fail")</f>
        <v>Fail</v>
      </c>
      <c r="O19">
        <v>0.96699999999999997</v>
      </c>
      <c r="P19" t="str">
        <f t="shared" si="0"/>
        <v>Average</v>
      </c>
    </row>
    <row r="20" spans="1:16" hidden="1" x14ac:dyDescent="0.3">
      <c r="A20">
        <v>1019</v>
      </c>
      <c r="B20" t="s">
        <v>12</v>
      </c>
      <c r="C20">
        <v>19</v>
      </c>
      <c r="D20" t="s">
        <v>13</v>
      </c>
      <c r="E20" s="7">
        <v>18</v>
      </c>
      <c r="F20" s="6">
        <v>86.9</v>
      </c>
      <c r="G20">
        <v>5</v>
      </c>
      <c r="H20" s="4">
        <v>2.0499999999999998</v>
      </c>
      <c r="I20" t="s">
        <v>19</v>
      </c>
      <c r="J20">
        <v>1</v>
      </c>
      <c r="K20">
        <v>7.2</v>
      </c>
      <c r="L20" t="s">
        <v>15</v>
      </c>
      <c r="M20" t="str">
        <f>IF(Table1[[#This Row],[Study_Hours_per_Week]]&lt;=5, "0-5",
 IF(Table1[[#This Row],[Study_Hours_per_Week]]&lt;=10, "6-10",
 IF(Table1[[#This Row],[Study_Hours_per_Week]]&lt;=15, "11-15",
 IF(Table1[[#This Row],[Study_Hours_per_Week]]&lt;=20, "16-20", "21+"))))</f>
        <v>16-20</v>
      </c>
      <c r="N20" t="str">
        <f>IF(Table1[[#This Row],[GPA]] &gt;= 2, "Pass", "Fail")</f>
        <v>Pass</v>
      </c>
      <c r="O20">
        <v>1.5209999999999999</v>
      </c>
      <c r="P20" t="str">
        <f t="shared" si="0"/>
        <v>Excellent</v>
      </c>
    </row>
    <row r="21" spans="1:16" hidden="1" x14ac:dyDescent="0.3">
      <c r="A21">
        <v>1020</v>
      </c>
      <c r="B21" t="s">
        <v>12</v>
      </c>
      <c r="C21">
        <v>18</v>
      </c>
      <c r="D21" t="s">
        <v>13</v>
      </c>
      <c r="E21" s="7">
        <v>18</v>
      </c>
      <c r="F21" s="6">
        <v>86.9</v>
      </c>
      <c r="G21">
        <v>6</v>
      </c>
      <c r="H21" s="4">
        <v>1.27</v>
      </c>
      <c r="I21" t="s">
        <v>19</v>
      </c>
      <c r="J21">
        <v>9</v>
      </c>
      <c r="K21">
        <v>8.3000000000000007</v>
      </c>
      <c r="L21" t="s">
        <v>15</v>
      </c>
      <c r="M21" t="str">
        <f>IF(Table1[[#This Row],[Study_Hours_per_Week]]&lt;=5, "0-5",
 IF(Table1[[#This Row],[Study_Hours_per_Week]]&lt;=10, "6-10",
 IF(Table1[[#This Row],[Study_Hours_per_Week]]&lt;=15, "11-15",
 IF(Table1[[#This Row],[Study_Hours_per_Week]]&lt;=20, "16-20", "21+"))))</f>
        <v>16-20</v>
      </c>
      <c r="N21" t="str">
        <f>IF(Table1[[#This Row],[GPA]] &gt;= 2, "Pass", "Fail")</f>
        <v>Fail</v>
      </c>
      <c r="O21">
        <v>0.95499999999999996</v>
      </c>
      <c r="P21" t="str">
        <f t="shared" si="0"/>
        <v>Average</v>
      </c>
    </row>
    <row r="22" spans="1:16" hidden="1" x14ac:dyDescent="0.3">
      <c r="A22">
        <v>1021</v>
      </c>
      <c r="B22" t="s">
        <v>16</v>
      </c>
      <c r="C22">
        <v>21</v>
      </c>
      <c r="D22" t="s">
        <v>13</v>
      </c>
      <c r="E22" s="7">
        <v>18</v>
      </c>
      <c r="F22" s="6">
        <v>86.9</v>
      </c>
      <c r="G22">
        <v>7</v>
      </c>
      <c r="H22" s="4">
        <v>1.17</v>
      </c>
      <c r="I22" t="s">
        <v>14</v>
      </c>
      <c r="J22">
        <v>8</v>
      </c>
      <c r="K22">
        <v>6.2</v>
      </c>
      <c r="L22" t="s">
        <v>18</v>
      </c>
      <c r="M22" t="str">
        <f>IF(Table1[[#This Row],[Study_Hours_per_Week]]&lt;=5, "0-5",
 IF(Table1[[#This Row],[Study_Hours_per_Week]]&lt;=10, "6-10",
 IF(Table1[[#This Row],[Study_Hours_per_Week]]&lt;=15, "11-15",
 IF(Table1[[#This Row],[Study_Hours_per_Week]]&lt;=20, "16-20", "21+"))))</f>
        <v>16-20</v>
      </c>
      <c r="N22" t="str">
        <f>IF(Table1[[#This Row],[GPA]] &gt;= 2, "Pass", "Fail")</f>
        <v>Fail</v>
      </c>
      <c r="O22">
        <v>1.006</v>
      </c>
      <c r="P22" t="str">
        <f t="shared" si="0"/>
        <v>Average</v>
      </c>
    </row>
    <row r="23" spans="1:16" hidden="1" x14ac:dyDescent="0.3">
      <c r="A23">
        <v>1022</v>
      </c>
      <c r="B23" t="s">
        <v>16</v>
      </c>
      <c r="C23">
        <v>22</v>
      </c>
      <c r="D23" t="s">
        <v>13</v>
      </c>
      <c r="E23" s="7">
        <v>18</v>
      </c>
      <c r="F23" s="6">
        <v>86.9</v>
      </c>
      <c r="G23">
        <v>10</v>
      </c>
      <c r="H23" s="4">
        <v>0.68</v>
      </c>
      <c r="I23" t="s">
        <v>14</v>
      </c>
      <c r="J23">
        <v>4</v>
      </c>
      <c r="K23">
        <v>8.4</v>
      </c>
      <c r="L23" t="s">
        <v>15</v>
      </c>
      <c r="M23" t="str">
        <f>IF(Table1[[#This Row],[Study_Hours_per_Week]]&lt;=5, "0-5",
 IF(Table1[[#This Row],[Study_Hours_per_Week]]&lt;=10, "6-10",
 IF(Table1[[#This Row],[Study_Hours_per_Week]]&lt;=15, "11-15",
 IF(Table1[[#This Row],[Study_Hours_per_Week]]&lt;=20, "16-20", "21+"))))</f>
        <v>16-20</v>
      </c>
      <c r="N23" t="str">
        <f>IF(Table1[[#This Row],[GPA]] &gt;= 2, "Pass", "Fail")</f>
        <v>Fail</v>
      </c>
      <c r="O23">
        <v>0.65400000000000003</v>
      </c>
      <c r="P23" t="str">
        <f t="shared" si="0"/>
        <v>Below Average</v>
      </c>
    </row>
    <row r="24" spans="1:16" hidden="1" x14ac:dyDescent="0.3">
      <c r="A24">
        <v>1023</v>
      </c>
      <c r="B24" t="s">
        <v>12</v>
      </c>
      <c r="C24">
        <v>22</v>
      </c>
      <c r="D24" t="s">
        <v>13</v>
      </c>
      <c r="E24" s="7">
        <v>18</v>
      </c>
      <c r="F24" s="6">
        <v>86.9</v>
      </c>
      <c r="G24">
        <v>6</v>
      </c>
      <c r="H24" s="4">
        <v>1.54</v>
      </c>
      <c r="I24" t="s">
        <v>19</v>
      </c>
      <c r="J24">
        <v>2</v>
      </c>
      <c r="K24">
        <v>7.7</v>
      </c>
      <c r="L24" t="s">
        <v>18</v>
      </c>
      <c r="M24" t="str">
        <f>IF(Table1[[#This Row],[Study_Hours_per_Week]]&lt;=5, "0-5",
 IF(Table1[[#This Row],[Study_Hours_per_Week]]&lt;=10, "6-10",
 IF(Table1[[#This Row],[Study_Hours_per_Week]]&lt;=15, "11-15",
 IF(Table1[[#This Row],[Study_Hours_per_Week]]&lt;=20, "16-20", "21+"))))</f>
        <v>16-20</v>
      </c>
      <c r="N24" t="str">
        <f>IF(Table1[[#This Row],[GPA]] &gt;= 2, "Pass", "Fail")</f>
        <v>Fail</v>
      </c>
      <c r="O24">
        <v>1.1599999999999999</v>
      </c>
      <c r="P24" t="str">
        <f t="shared" si="0"/>
        <v>Good</v>
      </c>
    </row>
    <row r="25" spans="1:16" hidden="1" x14ac:dyDescent="0.3">
      <c r="A25">
        <v>1024</v>
      </c>
      <c r="B25" t="s">
        <v>12</v>
      </c>
      <c r="C25">
        <v>21</v>
      </c>
      <c r="D25" t="s">
        <v>13</v>
      </c>
      <c r="E25" s="7">
        <v>18</v>
      </c>
      <c r="F25" s="6">
        <v>86.9</v>
      </c>
      <c r="G25">
        <v>6</v>
      </c>
      <c r="H25" s="4">
        <v>1.24</v>
      </c>
      <c r="I25" t="s">
        <v>17</v>
      </c>
      <c r="J25">
        <v>3</v>
      </c>
      <c r="K25">
        <v>8.6</v>
      </c>
      <c r="L25" t="s">
        <v>18</v>
      </c>
      <c r="M25" t="str">
        <f>IF(Table1[[#This Row],[Study_Hours_per_Week]]&lt;=5, "0-5",
 IF(Table1[[#This Row],[Study_Hours_per_Week]]&lt;=10, "6-10",
 IF(Table1[[#This Row],[Study_Hours_per_Week]]&lt;=15, "11-15",
 IF(Table1[[#This Row],[Study_Hours_per_Week]]&lt;=20, "16-20", "21+"))))</f>
        <v>16-20</v>
      </c>
      <c r="N25" t="str">
        <f>IF(Table1[[#This Row],[GPA]] &gt;= 2, "Pass", "Fail")</f>
        <v>Fail</v>
      </c>
      <c r="O25">
        <v>0.97899999999999998</v>
      </c>
      <c r="P25" t="str">
        <f t="shared" si="0"/>
        <v>Average</v>
      </c>
    </row>
    <row r="26" spans="1:16" hidden="1" x14ac:dyDescent="0.3">
      <c r="A26">
        <v>1025</v>
      </c>
      <c r="B26" t="s">
        <v>12</v>
      </c>
      <c r="C26">
        <v>18</v>
      </c>
      <c r="D26" t="s">
        <v>13</v>
      </c>
      <c r="E26" s="7">
        <v>18</v>
      </c>
      <c r="F26" s="6">
        <v>86.9</v>
      </c>
      <c r="G26">
        <v>6</v>
      </c>
      <c r="H26" s="4">
        <v>1.35</v>
      </c>
      <c r="I26" t="s">
        <v>19</v>
      </c>
      <c r="J26">
        <v>3</v>
      </c>
      <c r="K26">
        <v>6.3</v>
      </c>
      <c r="L26" t="s">
        <v>18</v>
      </c>
      <c r="M26" t="str">
        <f>IF(Table1[[#This Row],[Study_Hours_per_Week]]&lt;=5, "0-5",
 IF(Table1[[#This Row],[Study_Hours_per_Week]]&lt;=10, "6-10",
 IF(Table1[[#This Row],[Study_Hours_per_Week]]&lt;=15, "11-15",
 IF(Table1[[#This Row],[Study_Hours_per_Week]]&lt;=20, "16-20", "21+"))))</f>
        <v>16-20</v>
      </c>
      <c r="N26" t="str">
        <f>IF(Table1[[#This Row],[GPA]] &gt;= 2, "Pass", "Fail")</f>
        <v>Fail</v>
      </c>
      <c r="O26">
        <v>1.0820000000000001</v>
      </c>
      <c r="P26" t="str">
        <f t="shared" si="0"/>
        <v>Average</v>
      </c>
    </row>
    <row r="27" spans="1:16" x14ac:dyDescent="0.3">
      <c r="A27">
        <v>1026</v>
      </c>
      <c r="B27" t="s">
        <v>16</v>
      </c>
      <c r="C27">
        <v>19</v>
      </c>
      <c r="D27" t="s">
        <v>13</v>
      </c>
      <c r="E27" s="7">
        <v>18</v>
      </c>
      <c r="F27" s="6">
        <v>86.9</v>
      </c>
      <c r="G27">
        <v>10</v>
      </c>
      <c r="H27" s="4">
        <v>1.33</v>
      </c>
      <c r="I27" t="s">
        <v>17</v>
      </c>
      <c r="J27">
        <v>7</v>
      </c>
      <c r="K27">
        <v>5.9</v>
      </c>
      <c r="L27" t="s">
        <v>15</v>
      </c>
      <c r="M27" t="str">
        <f>IF(Table1[[#This Row],[Study_Hours_per_Week]]&lt;=5, "0-5",
 IF(Table1[[#This Row],[Study_Hours_per_Week]]&lt;=10, "6-10",
 IF(Table1[[#This Row],[Study_Hours_per_Week]]&lt;=15, "11-15",
 IF(Table1[[#This Row],[Study_Hours_per_Week]]&lt;=20, "16-20", "21+"))))</f>
        <v>16-20</v>
      </c>
      <c r="N27" t="str">
        <f>IF(Table1[[#This Row],[GPA]] &gt;= 2, "Pass", "Fail")</f>
        <v>Fail</v>
      </c>
      <c r="O27">
        <v>1.0249999999999999</v>
      </c>
      <c r="P27" t="str">
        <f t="shared" si="0"/>
        <v>Average</v>
      </c>
    </row>
    <row r="28" spans="1:16" hidden="1" x14ac:dyDescent="0.3">
      <c r="A28">
        <v>1027</v>
      </c>
      <c r="B28" t="s">
        <v>16</v>
      </c>
      <c r="C28">
        <v>18</v>
      </c>
      <c r="D28" t="s">
        <v>13</v>
      </c>
      <c r="E28" s="7">
        <v>18</v>
      </c>
      <c r="F28" s="6">
        <v>86.9</v>
      </c>
      <c r="G28">
        <v>10</v>
      </c>
      <c r="H28" s="4">
        <v>1.32</v>
      </c>
      <c r="I28" t="s">
        <v>14</v>
      </c>
      <c r="J28">
        <v>4</v>
      </c>
      <c r="K28">
        <v>6.6</v>
      </c>
      <c r="L28" t="s">
        <v>18</v>
      </c>
      <c r="M28" t="str">
        <f>IF(Table1[[#This Row],[Study_Hours_per_Week]]&lt;=5, "0-5",
 IF(Table1[[#This Row],[Study_Hours_per_Week]]&lt;=10, "6-10",
 IF(Table1[[#This Row],[Study_Hours_per_Week]]&lt;=15, "11-15",
 IF(Table1[[#This Row],[Study_Hours_per_Week]]&lt;=20, "16-20", "21+"))))</f>
        <v>16-20</v>
      </c>
      <c r="N28" t="str">
        <f>IF(Table1[[#This Row],[GPA]] &gt;= 2, "Pass", "Fail")</f>
        <v>Fail</v>
      </c>
      <c r="O28">
        <v>1.0549999999999999</v>
      </c>
      <c r="P28" t="str">
        <f t="shared" si="0"/>
        <v>Average</v>
      </c>
    </row>
    <row r="29" spans="1:16" hidden="1" x14ac:dyDescent="0.3">
      <c r="A29">
        <v>1028</v>
      </c>
      <c r="B29" t="s">
        <v>16</v>
      </c>
      <c r="C29">
        <v>24</v>
      </c>
      <c r="D29" t="s">
        <v>13</v>
      </c>
      <c r="E29" s="7">
        <v>18</v>
      </c>
      <c r="F29" s="6">
        <v>86.9</v>
      </c>
      <c r="G29">
        <v>8</v>
      </c>
      <c r="H29" s="4">
        <v>1.82</v>
      </c>
      <c r="I29" t="s">
        <v>19</v>
      </c>
      <c r="J29">
        <v>1</v>
      </c>
      <c r="K29">
        <v>8.3000000000000007</v>
      </c>
      <c r="L29" t="s">
        <v>15</v>
      </c>
      <c r="M29" t="str">
        <f>IF(Table1[[#This Row],[Study_Hours_per_Week]]&lt;=5, "0-5",
 IF(Table1[[#This Row],[Study_Hours_per_Week]]&lt;=10, "6-10",
 IF(Table1[[#This Row],[Study_Hours_per_Week]]&lt;=15, "11-15",
 IF(Table1[[#This Row],[Study_Hours_per_Week]]&lt;=20, "16-20", "21+"))))</f>
        <v>16-20</v>
      </c>
      <c r="N29" t="str">
        <f>IF(Table1[[#This Row],[GPA]] &gt;= 2, "Pass", "Fail")</f>
        <v>Fail</v>
      </c>
      <c r="O29">
        <v>1.35</v>
      </c>
      <c r="P29" t="str">
        <f t="shared" si="0"/>
        <v>Excellent</v>
      </c>
    </row>
    <row r="30" spans="1:16" hidden="1" x14ac:dyDescent="0.3">
      <c r="A30">
        <v>1029</v>
      </c>
      <c r="B30" t="s">
        <v>16</v>
      </c>
      <c r="C30">
        <v>18</v>
      </c>
      <c r="D30" t="s">
        <v>13</v>
      </c>
      <c r="E30" s="7">
        <v>18</v>
      </c>
      <c r="F30" s="6">
        <v>86.9</v>
      </c>
      <c r="G30">
        <v>5</v>
      </c>
      <c r="H30" s="4">
        <v>1.07</v>
      </c>
      <c r="I30" t="s">
        <v>17</v>
      </c>
      <c r="J30">
        <v>5</v>
      </c>
      <c r="K30">
        <v>7.1</v>
      </c>
      <c r="L30" t="s">
        <v>18</v>
      </c>
      <c r="M30" t="str">
        <f>IF(Table1[[#This Row],[Study_Hours_per_Week]]&lt;=5, "0-5",
 IF(Table1[[#This Row],[Study_Hours_per_Week]]&lt;=10, "6-10",
 IF(Table1[[#This Row],[Study_Hours_per_Week]]&lt;=15, "11-15",
 IF(Table1[[#This Row],[Study_Hours_per_Week]]&lt;=20, "16-20", "21+"))))</f>
        <v>16-20</v>
      </c>
      <c r="N30" t="str">
        <f>IF(Table1[[#This Row],[GPA]] &gt;= 2, "Pass", "Fail")</f>
        <v>Fail</v>
      </c>
      <c r="O30">
        <v>0.89600000000000002</v>
      </c>
      <c r="P30" t="str">
        <f t="shared" si="0"/>
        <v>Average</v>
      </c>
    </row>
    <row r="31" spans="1:16" hidden="1" x14ac:dyDescent="0.3">
      <c r="A31">
        <v>1030</v>
      </c>
      <c r="B31" t="s">
        <v>16</v>
      </c>
      <c r="C31">
        <v>22</v>
      </c>
      <c r="D31" t="s">
        <v>13</v>
      </c>
      <c r="E31" s="7">
        <v>18</v>
      </c>
      <c r="F31" s="6">
        <v>86.9</v>
      </c>
      <c r="G31">
        <v>10</v>
      </c>
      <c r="H31" s="4">
        <v>1.23</v>
      </c>
      <c r="I31" t="s">
        <v>19</v>
      </c>
      <c r="J31">
        <v>4</v>
      </c>
      <c r="K31">
        <v>6.2</v>
      </c>
      <c r="L31" t="s">
        <v>15</v>
      </c>
      <c r="M31" t="str">
        <f>IF(Table1[[#This Row],[Study_Hours_per_Week]]&lt;=5, "0-5",
 IF(Table1[[#This Row],[Study_Hours_per_Week]]&lt;=10, "6-10",
 IF(Table1[[#This Row],[Study_Hours_per_Week]]&lt;=15, "11-15",
 IF(Table1[[#This Row],[Study_Hours_per_Week]]&lt;=20, "16-20", "21+"))))</f>
        <v>16-20</v>
      </c>
      <c r="N31" t="str">
        <f>IF(Table1[[#This Row],[GPA]] &gt;= 2, "Pass", "Fail")</f>
        <v>Fail</v>
      </c>
      <c r="O31">
        <v>1.032</v>
      </c>
      <c r="P31" t="str">
        <f t="shared" si="0"/>
        <v>Average</v>
      </c>
    </row>
    <row r="32" spans="1:16" hidden="1" x14ac:dyDescent="0.3">
      <c r="A32">
        <v>1031</v>
      </c>
      <c r="B32" t="s">
        <v>16</v>
      </c>
      <c r="C32">
        <v>19</v>
      </c>
      <c r="D32" t="s">
        <v>13</v>
      </c>
      <c r="E32" s="7">
        <v>18</v>
      </c>
      <c r="F32" s="6">
        <v>86.9</v>
      </c>
      <c r="G32">
        <v>8</v>
      </c>
      <c r="H32" s="4">
        <v>1.17</v>
      </c>
      <c r="I32" t="s">
        <v>14</v>
      </c>
      <c r="J32">
        <v>6</v>
      </c>
      <c r="K32">
        <v>7</v>
      </c>
      <c r="L32" t="s">
        <v>18</v>
      </c>
      <c r="M32" t="str">
        <f>IF(Table1[[#This Row],[Study_Hours_per_Week]]&lt;=5, "0-5",
 IF(Table1[[#This Row],[Study_Hours_per_Week]]&lt;=10, "6-10",
 IF(Table1[[#This Row],[Study_Hours_per_Week]]&lt;=15, "11-15",
 IF(Table1[[#This Row],[Study_Hours_per_Week]]&lt;=20, "16-20", "21+"))))</f>
        <v>16-20</v>
      </c>
      <c r="N32" t="str">
        <f>IF(Table1[[#This Row],[GPA]] &gt;= 2, "Pass", "Fail")</f>
        <v>Fail</v>
      </c>
      <c r="O32">
        <v>0.95</v>
      </c>
      <c r="P32" t="str">
        <f t="shared" si="0"/>
        <v>Average</v>
      </c>
    </row>
    <row r="33" spans="1:16" hidden="1" x14ac:dyDescent="0.3">
      <c r="A33">
        <v>1032</v>
      </c>
      <c r="B33" t="s">
        <v>16</v>
      </c>
      <c r="C33">
        <v>23</v>
      </c>
      <c r="D33" t="s">
        <v>13</v>
      </c>
      <c r="E33" s="7">
        <v>18</v>
      </c>
      <c r="F33" s="6">
        <v>86.9</v>
      </c>
      <c r="G33">
        <v>10</v>
      </c>
      <c r="H33" s="4">
        <v>1.42</v>
      </c>
      <c r="I33" t="s">
        <v>14</v>
      </c>
      <c r="J33">
        <v>3</v>
      </c>
      <c r="K33">
        <v>5.9</v>
      </c>
      <c r="L33" t="s">
        <v>18</v>
      </c>
      <c r="M33" t="str">
        <f>IF(Table1[[#This Row],[Study_Hours_per_Week]]&lt;=5, "0-5",
 IF(Table1[[#This Row],[Study_Hours_per_Week]]&lt;=10, "6-10",
 IF(Table1[[#This Row],[Study_Hours_per_Week]]&lt;=15, "11-15",
 IF(Table1[[#This Row],[Study_Hours_per_Week]]&lt;=20, "16-20", "21+"))))</f>
        <v>16-20</v>
      </c>
      <c r="N33" t="str">
        <f>IF(Table1[[#This Row],[GPA]] &gt;= 2, "Pass", "Fail")</f>
        <v>Fail</v>
      </c>
      <c r="O33">
        <v>1.127</v>
      </c>
      <c r="P33" t="str">
        <f t="shared" si="0"/>
        <v>Good</v>
      </c>
    </row>
    <row r="34" spans="1:16" hidden="1" x14ac:dyDescent="0.3">
      <c r="A34">
        <v>1033</v>
      </c>
      <c r="B34" t="s">
        <v>16</v>
      </c>
      <c r="C34">
        <v>21</v>
      </c>
      <c r="D34" t="s">
        <v>13</v>
      </c>
      <c r="E34" s="7">
        <v>18</v>
      </c>
      <c r="F34" s="6">
        <v>86.9</v>
      </c>
      <c r="G34">
        <v>10</v>
      </c>
      <c r="H34" s="4">
        <v>1.1000000000000001</v>
      </c>
      <c r="I34" t="s">
        <v>19</v>
      </c>
      <c r="J34">
        <v>7</v>
      </c>
      <c r="K34">
        <v>7.2</v>
      </c>
      <c r="L34" t="s">
        <v>18</v>
      </c>
      <c r="M34" t="str">
        <f>IF(Table1[[#This Row],[Study_Hours_per_Week]]&lt;=5, "0-5",
 IF(Table1[[#This Row],[Study_Hours_per_Week]]&lt;=10, "6-10",
 IF(Table1[[#This Row],[Study_Hours_per_Week]]&lt;=15, "11-15",
 IF(Table1[[#This Row],[Study_Hours_per_Week]]&lt;=20, "16-20", "21+"))))</f>
        <v>16-20</v>
      </c>
      <c r="N34" t="str">
        <f>IF(Table1[[#This Row],[GPA]] &gt;= 2, "Pass", "Fail")</f>
        <v>Fail</v>
      </c>
      <c r="O34">
        <v>0.83799999999999997</v>
      </c>
      <c r="P34" t="str">
        <f t="shared" ref="P34:P65" si="1">IF(H34&gt;=1.8,"Excellent",IF(H34&gt;=1.4,"Good",IF(H34&gt;=1,"Average","Below Average")))</f>
        <v>Average</v>
      </c>
    </row>
    <row r="35" spans="1:16" x14ac:dyDescent="0.3">
      <c r="A35">
        <v>1034</v>
      </c>
      <c r="B35" t="s">
        <v>12</v>
      </c>
      <c r="C35">
        <v>20</v>
      </c>
      <c r="D35" t="s">
        <v>13</v>
      </c>
      <c r="E35" s="7">
        <v>18</v>
      </c>
      <c r="F35" s="6">
        <v>86.9</v>
      </c>
      <c r="G35">
        <v>10</v>
      </c>
      <c r="H35" s="4">
        <v>1.07</v>
      </c>
      <c r="I35" t="s">
        <v>17</v>
      </c>
      <c r="J35">
        <v>5</v>
      </c>
      <c r="K35">
        <v>6.8</v>
      </c>
      <c r="L35" t="s">
        <v>15</v>
      </c>
      <c r="M35" t="str">
        <f>IF(Table1[[#This Row],[Study_Hours_per_Week]]&lt;=5, "0-5",
 IF(Table1[[#This Row],[Study_Hours_per_Week]]&lt;=10, "6-10",
 IF(Table1[[#This Row],[Study_Hours_per_Week]]&lt;=15, "11-15",
 IF(Table1[[#This Row],[Study_Hours_per_Week]]&lt;=20, "16-20", "21+"))))</f>
        <v>16-20</v>
      </c>
      <c r="N35" t="str">
        <f>IF(Table1[[#This Row],[GPA]] &gt;= 2, "Pass", "Fail")</f>
        <v>Fail</v>
      </c>
      <c r="O35">
        <v>0.88700000000000001</v>
      </c>
      <c r="P35" t="str">
        <f t="shared" si="1"/>
        <v>Average</v>
      </c>
    </row>
    <row r="36" spans="1:16" hidden="1" x14ac:dyDescent="0.3">
      <c r="A36">
        <v>1035</v>
      </c>
      <c r="B36" t="s">
        <v>12</v>
      </c>
      <c r="C36">
        <v>23</v>
      </c>
      <c r="D36" t="s">
        <v>13</v>
      </c>
      <c r="E36" s="7">
        <v>18</v>
      </c>
      <c r="F36" s="6">
        <v>86.9</v>
      </c>
      <c r="G36">
        <v>10</v>
      </c>
      <c r="H36" s="4">
        <v>1.48</v>
      </c>
      <c r="I36" t="s">
        <v>14</v>
      </c>
      <c r="J36">
        <v>3</v>
      </c>
      <c r="K36">
        <v>8.1</v>
      </c>
      <c r="L36" t="s">
        <v>15</v>
      </c>
      <c r="M36" t="str">
        <f>IF(Table1[[#This Row],[Study_Hours_per_Week]]&lt;=5, "0-5",
 IF(Table1[[#This Row],[Study_Hours_per_Week]]&lt;=10, "6-10",
 IF(Table1[[#This Row],[Study_Hours_per_Week]]&lt;=15, "11-15",
 IF(Table1[[#This Row],[Study_Hours_per_Week]]&lt;=20, "16-20", "21+"))))</f>
        <v>16-20</v>
      </c>
      <c r="N36" t="str">
        <f>IF(Table1[[#This Row],[GPA]] &gt;= 2, "Pass", "Fail")</f>
        <v>Fail</v>
      </c>
      <c r="O36">
        <v>1.1890000000000001</v>
      </c>
      <c r="P36" t="str">
        <f t="shared" si="1"/>
        <v>Good</v>
      </c>
    </row>
    <row r="37" spans="1:16" hidden="1" x14ac:dyDescent="0.3">
      <c r="A37">
        <v>1036</v>
      </c>
      <c r="B37" t="s">
        <v>16</v>
      </c>
      <c r="C37">
        <v>18</v>
      </c>
      <c r="D37" t="s">
        <v>13</v>
      </c>
      <c r="E37" s="7">
        <v>18</v>
      </c>
      <c r="F37" s="6">
        <v>86.9</v>
      </c>
      <c r="G37">
        <v>6</v>
      </c>
      <c r="H37" s="4">
        <v>1.31</v>
      </c>
      <c r="I37" t="s">
        <v>14</v>
      </c>
      <c r="J37">
        <v>7</v>
      </c>
      <c r="K37">
        <v>7.4</v>
      </c>
      <c r="L37" t="s">
        <v>18</v>
      </c>
      <c r="M37" t="str">
        <f>IF(Table1[[#This Row],[Study_Hours_per_Week]]&lt;=5, "0-5",
 IF(Table1[[#This Row],[Study_Hours_per_Week]]&lt;=10, "6-10",
 IF(Table1[[#This Row],[Study_Hours_per_Week]]&lt;=15, "11-15",
 IF(Table1[[#This Row],[Study_Hours_per_Week]]&lt;=20, "16-20", "21+"))))</f>
        <v>16-20</v>
      </c>
      <c r="N37" t="str">
        <f>IF(Table1[[#This Row],[GPA]] &gt;= 2, "Pass", "Fail")</f>
        <v>Fail</v>
      </c>
      <c r="O37">
        <v>1.0609999999999999</v>
      </c>
      <c r="P37" t="str">
        <f t="shared" si="1"/>
        <v>Average</v>
      </c>
    </row>
    <row r="38" spans="1:16" hidden="1" x14ac:dyDescent="0.3">
      <c r="A38">
        <v>1037</v>
      </c>
      <c r="B38" t="s">
        <v>12</v>
      </c>
      <c r="C38">
        <v>19</v>
      </c>
      <c r="D38" t="s">
        <v>13</v>
      </c>
      <c r="E38" s="7">
        <v>18</v>
      </c>
      <c r="F38" s="6">
        <v>86.9</v>
      </c>
      <c r="G38">
        <v>6</v>
      </c>
      <c r="H38" s="4">
        <v>1.54</v>
      </c>
      <c r="I38" t="s">
        <v>19</v>
      </c>
      <c r="J38">
        <v>5</v>
      </c>
      <c r="K38">
        <v>8.1</v>
      </c>
      <c r="L38" t="s">
        <v>18</v>
      </c>
      <c r="M38" t="str">
        <f>IF(Table1[[#This Row],[Study_Hours_per_Week]]&lt;=5, "0-5",
 IF(Table1[[#This Row],[Study_Hours_per_Week]]&lt;=10, "6-10",
 IF(Table1[[#This Row],[Study_Hours_per_Week]]&lt;=15, "11-15",
 IF(Table1[[#This Row],[Study_Hours_per_Week]]&lt;=20, "16-20", "21+"))))</f>
        <v>16-20</v>
      </c>
      <c r="N38" t="str">
        <f>IF(Table1[[#This Row],[GPA]] &gt;= 2, "Pass", "Fail")</f>
        <v>Fail</v>
      </c>
      <c r="O38">
        <v>1.155</v>
      </c>
      <c r="P38" t="str">
        <f t="shared" si="1"/>
        <v>Good</v>
      </c>
    </row>
    <row r="39" spans="1:16" hidden="1" x14ac:dyDescent="0.3">
      <c r="A39">
        <v>1038</v>
      </c>
      <c r="B39" t="s">
        <v>16</v>
      </c>
      <c r="C39">
        <v>19</v>
      </c>
      <c r="D39" t="s">
        <v>13</v>
      </c>
      <c r="E39" s="7">
        <v>18</v>
      </c>
      <c r="F39" s="6">
        <v>86.9</v>
      </c>
      <c r="G39">
        <v>7</v>
      </c>
      <c r="H39" s="4">
        <v>0.87</v>
      </c>
      <c r="I39" t="s">
        <v>17</v>
      </c>
      <c r="J39">
        <v>5</v>
      </c>
      <c r="K39">
        <v>5.6</v>
      </c>
      <c r="L39" t="s">
        <v>18</v>
      </c>
      <c r="M39" t="str">
        <f>IF(Table1[[#This Row],[Study_Hours_per_Week]]&lt;=5, "0-5",
 IF(Table1[[#This Row],[Study_Hours_per_Week]]&lt;=10, "6-10",
 IF(Table1[[#This Row],[Study_Hours_per_Week]]&lt;=15, "11-15",
 IF(Table1[[#This Row],[Study_Hours_per_Week]]&lt;=20, "16-20", "21+"))))</f>
        <v>16-20</v>
      </c>
      <c r="N39" t="str">
        <f>IF(Table1[[#This Row],[GPA]] &gt;= 2, "Pass", "Fail")</f>
        <v>Fail</v>
      </c>
      <c r="O39">
        <v>0.70599999999999996</v>
      </c>
      <c r="P39" t="str">
        <f t="shared" si="1"/>
        <v>Below Average</v>
      </c>
    </row>
    <row r="40" spans="1:16" hidden="1" x14ac:dyDescent="0.3">
      <c r="A40">
        <v>1039</v>
      </c>
      <c r="B40" t="s">
        <v>12</v>
      </c>
      <c r="C40">
        <v>24</v>
      </c>
      <c r="D40" t="s">
        <v>13</v>
      </c>
      <c r="E40" s="7">
        <v>18</v>
      </c>
      <c r="F40" s="6">
        <v>86.9</v>
      </c>
      <c r="G40">
        <v>6</v>
      </c>
      <c r="H40" s="4">
        <v>0.79</v>
      </c>
      <c r="I40" t="s">
        <v>19</v>
      </c>
      <c r="J40">
        <v>3</v>
      </c>
      <c r="K40">
        <v>5.0999999999999996</v>
      </c>
      <c r="L40" t="s">
        <v>15</v>
      </c>
      <c r="M40" t="str">
        <f>IF(Table1[[#This Row],[Study_Hours_per_Week]]&lt;=5, "0-5",
 IF(Table1[[#This Row],[Study_Hours_per_Week]]&lt;=10, "6-10",
 IF(Table1[[#This Row],[Study_Hours_per_Week]]&lt;=15, "11-15",
 IF(Table1[[#This Row],[Study_Hours_per_Week]]&lt;=20, "16-20", "21+"))))</f>
        <v>16-20</v>
      </c>
      <c r="N40" t="str">
        <f>IF(Table1[[#This Row],[GPA]] &gt;= 2, "Pass", "Fail")</f>
        <v>Fail</v>
      </c>
      <c r="O40">
        <v>0.69299999999999995</v>
      </c>
      <c r="P40" t="str">
        <f t="shared" si="1"/>
        <v>Below Average</v>
      </c>
    </row>
    <row r="41" spans="1:16" hidden="1" x14ac:dyDescent="0.3">
      <c r="A41">
        <v>1040</v>
      </c>
      <c r="B41" t="s">
        <v>16</v>
      </c>
      <c r="C41">
        <v>24</v>
      </c>
      <c r="D41" t="s">
        <v>13</v>
      </c>
      <c r="E41" s="7">
        <v>18</v>
      </c>
      <c r="F41" s="6">
        <v>86.9</v>
      </c>
      <c r="G41">
        <v>7</v>
      </c>
      <c r="H41" s="4">
        <v>0.48</v>
      </c>
      <c r="I41" t="s">
        <v>19</v>
      </c>
      <c r="J41">
        <v>6</v>
      </c>
      <c r="K41">
        <v>5.9</v>
      </c>
      <c r="L41" t="s">
        <v>15</v>
      </c>
      <c r="M41" t="str">
        <f>IF(Table1[[#This Row],[Study_Hours_per_Week]]&lt;=5, "0-5",
 IF(Table1[[#This Row],[Study_Hours_per_Week]]&lt;=10, "6-10",
 IF(Table1[[#This Row],[Study_Hours_per_Week]]&lt;=15, "11-15",
 IF(Table1[[#This Row],[Study_Hours_per_Week]]&lt;=20, "16-20", "21+"))))</f>
        <v>16-20</v>
      </c>
      <c r="N41" t="str">
        <f>IF(Table1[[#This Row],[GPA]] &gt;= 2, "Pass", "Fail")</f>
        <v>Fail</v>
      </c>
      <c r="O41">
        <v>0.53500000000000003</v>
      </c>
      <c r="P41" t="str">
        <f t="shared" si="1"/>
        <v>Below Average</v>
      </c>
    </row>
    <row r="42" spans="1:16" hidden="1" x14ac:dyDescent="0.3">
      <c r="A42">
        <v>1041</v>
      </c>
      <c r="B42" t="s">
        <v>16</v>
      </c>
      <c r="C42">
        <v>19</v>
      </c>
      <c r="D42" t="s">
        <v>13</v>
      </c>
      <c r="E42" s="7">
        <v>18</v>
      </c>
      <c r="F42" s="6">
        <v>86.9</v>
      </c>
      <c r="G42">
        <v>7</v>
      </c>
      <c r="H42" s="4">
        <v>1.4</v>
      </c>
      <c r="I42" t="s">
        <v>14</v>
      </c>
      <c r="J42">
        <v>3</v>
      </c>
      <c r="K42">
        <v>6.5</v>
      </c>
      <c r="L42" t="s">
        <v>18</v>
      </c>
      <c r="M42" t="str">
        <f>IF(Table1[[#This Row],[Study_Hours_per_Week]]&lt;=5, "0-5",
 IF(Table1[[#This Row],[Study_Hours_per_Week]]&lt;=10, "6-10",
 IF(Table1[[#This Row],[Study_Hours_per_Week]]&lt;=15, "11-15",
 IF(Table1[[#This Row],[Study_Hours_per_Week]]&lt;=20, "16-20", "21+"))))</f>
        <v>16-20</v>
      </c>
      <c r="N42" t="str">
        <f>IF(Table1[[#This Row],[GPA]] &gt;= 2, "Pass", "Fail")</f>
        <v>Fail</v>
      </c>
      <c r="O42">
        <v>1.08</v>
      </c>
      <c r="P42" t="str">
        <f t="shared" si="1"/>
        <v>Good</v>
      </c>
    </row>
    <row r="43" spans="1:16" hidden="1" x14ac:dyDescent="0.3">
      <c r="A43">
        <v>1042</v>
      </c>
      <c r="B43" t="s">
        <v>16</v>
      </c>
      <c r="C43">
        <v>18</v>
      </c>
      <c r="D43" t="s">
        <v>13</v>
      </c>
      <c r="E43" s="7">
        <v>18</v>
      </c>
      <c r="F43" s="6">
        <v>86.9</v>
      </c>
      <c r="G43">
        <v>5</v>
      </c>
      <c r="H43" s="4">
        <v>1.25</v>
      </c>
      <c r="I43" t="s">
        <v>14</v>
      </c>
      <c r="J43">
        <v>2</v>
      </c>
      <c r="K43">
        <v>5.8</v>
      </c>
      <c r="L43" t="s">
        <v>15</v>
      </c>
      <c r="M43" t="str">
        <f>IF(Table1[[#This Row],[Study_Hours_per_Week]]&lt;=5, "0-5",
 IF(Table1[[#This Row],[Study_Hours_per_Week]]&lt;=10, "6-10",
 IF(Table1[[#This Row],[Study_Hours_per_Week]]&lt;=15, "11-15",
 IF(Table1[[#This Row],[Study_Hours_per_Week]]&lt;=20, "16-20", "21+"))))</f>
        <v>16-20</v>
      </c>
      <c r="N43" t="str">
        <f>IF(Table1[[#This Row],[GPA]] &gt;= 2, "Pass", "Fail")</f>
        <v>Fail</v>
      </c>
      <c r="O43">
        <v>1.0149999999999999</v>
      </c>
      <c r="P43" t="str">
        <f t="shared" si="1"/>
        <v>Average</v>
      </c>
    </row>
    <row r="44" spans="1:16" x14ac:dyDescent="0.3">
      <c r="A44">
        <v>1043</v>
      </c>
      <c r="B44" t="s">
        <v>16</v>
      </c>
      <c r="C44">
        <v>24</v>
      </c>
      <c r="D44" t="s">
        <v>13</v>
      </c>
      <c r="E44" s="7">
        <v>18</v>
      </c>
      <c r="F44" s="6">
        <v>86.9</v>
      </c>
      <c r="G44">
        <v>10</v>
      </c>
      <c r="H44" s="4">
        <v>0.79</v>
      </c>
      <c r="I44" t="s">
        <v>17</v>
      </c>
      <c r="J44">
        <v>2</v>
      </c>
      <c r="K44">
        <v>7.4</v>
      </c>
      <c r="L44" t="s">
        <v>15</v>
      </c>
      <c r="M44" t="str">
        <f>IF(Table1[[#This Row],[Study_Hours_per_Week]]&lt;=5, "0-5",
 IF(Table1[[#This Row],[Study_Hours_per_Week]]&lt;=10, "6-10",
 IF(Table1[[#This Row],[Study_Hours_per_Week]]&lt;=15, "11-15",
 IF(Table1[[#This Row],[Study_Hours_per_Week]]&lt;=20, "16-20", "21+"))))</f>
        <v>16-20</v>
      </c>
      <c r="N44" t="str">
        <f>IF(Table1[[#This Row],[GPA]] &gt;= 2, "Pass", "Fail")</f>
        <v>Fail</v>
      </c>
      <c r="O44">
        <v>0.69399999999999995</v>
      </c>
      <c r="P44" t="str">
        <f t="shared" si="1"/>
        <v>Below Average</v>
      </c>
    </row>
    <row r="45" spans="1:16" hidden="1" x14ac:dyDescent="0.3">
      <c r="A45">
        <v>1044</v>
      </c>
      <c r="B45" t="s">
        <v>16</v>
      </c>
      <c r="C45">
        <v>19</v>
      </c>
      <c r="D45" t="s">
        <v>13</v>
      </c>
      <c r="E45" s="7">
        <v>18</v>
      </c>
      <c r="F45" s="6">
        <v>86.9</v>
      </c>
      <c r="G45">
        <v>4</v>
      </c>
      <c r="H45" s="4">
        <v>1.46</v>
      </c>
      <c r="I45" t="s">
        <v>14</v>
      </c>
      <c r="J45">
        <v>3</v>
      </c>
      <c r="K45">
        <v>6</v>
      </c>
      <c r="L45" t="s">
        <v>18</v>
      </c>
      <c r="M45" t="str">
        <f>IF(Table1[[#This Row],[Study_Hours_per_Week]]&lt;=5, "0-5",
 IF(Table1[[#This Row],[Study_Hours_per_Week]]&lt;=10, "6-10",
 IF(Table1[[#This Row],[Study_Hours_per_Week]]&lt;=15, "11-15",
 IF(Table1[[#This Row],[Study_Hours_per_Week]]&lt;=20, "16-20", "21+"))))</f>
        <v>16-20</v>
      </c>
      <c r="N45" t="str">
        <f>IF(Table1[[#This Row],[GPA]] &gt;= 2, "Pass", "Fail")</f>
        <v>Fail</v>
      </c>
      <c r="O45">
        <v>1.1599999999999999</v>
      </c>
      <c r="P45" t="str">
        <f t="shared" si="1"/>
        <v>Good</v>
      </c>
    </row>
    <row r="46" spans="1:16" hidden="1" x14ac:dyDescent="0.3">
      <c r="A46">
        <v>1045</v>
      </c>
      <c r="B46" t="s">
        <v>16</v>
      </c>
      <c r="C46">
        <v>19</v>
      </c>
      <c r="D46" t="s">
        <v>13</v>
      </c>
      <c r="E46" s="7">
        <v>18</v>
      </c>
      <c r="F46" s="6">
        <v>86.9</v>
      </c>
      <c r="G46">
        <v>10</v>
      </c>
      <c r="H46" s="4">
        <v>1.29</v>
      </c>
      <c r="I46" t="s">
        <v>17</v>
      </c>
      <c r="J46">
        <v>3</v>
      </c>
      <c r="K46">
        <v>5.9</v>
      </c>
      <c r="L46" t="s">
        <v>18</v>
      </c>
      <c r="M46" t="str">
        <f>IF(Table1[[#This Row],[Study_Hours_per_Week]]&lt;=5, "0-5",
 IF(Table1[[#This Row],[Study_Hours_per_Week]]&lt;=10, "6-10",
 IF(Table1[[#This Row],[Study_Hours_per_Week]]&lt;=15, "11-15",
 IF(Table1[[#This Row],[Study_Hours_per_Week]]&lt;=20, "16-20", "21+"))))</f>
        <v>16-20</v>
      </c>
      <c r="N46" t="str">
        <f>IF(Table1[[#This Row],[GPA]] &gt;= 2, "Pass", "Fail")</f>
        <v>Fail</v>
      </c>
      <c r="O46">
        <v>0.98099999999999998</v>
      </c>
      <c r="P46" t="str">
        <f t="shared" si="1"/>
        <v>Average</v>
      </c>
    </row>
    <row r="47" spans="1:16" hidden="1" x14ac:dyDescent="0.3">
      <c r="A47">
        <v>1046</v>
      </c>
      <c r="B47" t="s">
        <v>12</v>
      </c>
      <c r="C47">
        <v>23</v>
      </c>
      <c r="D47" t="s">
        <v>13</v>
      </c>
      <c r="E47" s="7">
        <v>18</v>
      </c>
      <c r="F47" s="6">
        <v>86.9</v>
      </c>
      <c r="G47">
        <v>6</v>
      </c>
      <c r="H47" s="4">
        <v>0.26</v>
      </c>
      <c r="I47" t="s">
        <v>19</v>
      </c>
      <c r="J47">
        <v>3</v>
      </c>
      <c r="K47">
        <v>6.5</v>
      </c>
      <c r="L47" t="s">
        <v>18</v>
      </c>
      <c r="M47" t="str">
        <f>IF(Table1[[#This Row],[Study_Hours_per_Week]]&lt;=5, "0-5",
 IF(Table1[[#This Row],[Study_Hours_per_Week]]&lt;=10, "6-10",
 IF(Table1[[#This Row],[Study_Hours_per_Week]]&lt;=15, "11-15",
 IF(Table1[[#This Row],[Study_Hours_per_Week]]&lt;=20, "16-20", "21+"))))</f>
        <v>16-20</v>
      </c>
      <c r="N47" t="str">
        <f>IF(Table1[[#This Row],[GPA]] &gt;= 2, "Pass", "Fail")</f>
        <v>Fail</v>
      </c>
      <c r="O47">
        <v>0.38100000000000001</v>
      </c>
      <c r="P47" t="str">
        <f t="shared" si="1"/>
        <v>Below Average</v>
      </c>
    </row>
    <row r="48" spans="1:16" hidden="1" x14ac:dyDescent="0.3">
      <c r="A48">
        <v>1047</v>
      </c>
      <c r="B48" t="s">
        <v>12</v>
      </c>
      <c r="C48">
        <v>18</v>
      </c>
      <c r="D48" t="s">
        <v>13</v>
      </c>
      <c r="E48" s="7">
        <v>18</v>
      </c>
      <c r="F48" s="6">
        <v>86.9</v>
      </c>
      <c r="G48">
        <v>9</v>
      </c>
      <c r="H48" s="4">
        <v>1.22</v>
      </c>
      <c r="I48" t="s">
        <v>14</v>
      </c>
      <c r="J48">
        <v>4</v>
      </c>
      <c r="K48">
        <v>6.9</v>
      </c>
      <c r="L48" t="s">
        <v>15</v>
      </c>
      <c r="M48" t="str">
        <f>IF(Table1[[#This Row],[Study_Hours_per_Week]]&lt;=5, "0-5",
 IF(Table1[[#This Row],[Study_Hours_per_Week]]&lt;=10, "6-10",
 IF(Table1[[#This Row],[Study_Hours_per_Week]]&lt;=15, "11-15",
 IF(Table1[[#This Row],[Study_Hours_per_Week]]&lt;=20, "16-20", "21+"))))</f>
        <v>16-20</v>
      </c>
      <c r="N48" t="str">
        <f>IF(Table1[[#This Row],[GPA]] &gt;= 2, "Pass", "Fail")</f>
        <v>Fail</v>
      </c>
      <c r="O48">
        <v>0.95199999999999996</v>
      </c>
      <c r="P48" t="str">
        <f t="shared" si="1"/>
        <v>Average</v>
      </c>
    </row>
    <row r="49" spans="1:16" hidden="1" x14ac:dyDescent="0.3">
      <c r="A49">
        <v>1048</v>
      </c>
      <c r="B49" t="s">
        <v>12</v>
      </c>
      <c r="C49">
        <v>22</v>
      </c>
      <c r="D49" t="s">
        <v>13</v>
      </c>
      <c r="E49" s="7">
        <v>18</v>
      </c>
      <c r="F49" s="6">
        <v>86.9</v>
      </c>
      <c r="G49">
        <v>6</v>
      </c>
      <c r="H49" s="4">
        <v>1.06</v>
      </c>
      <c r="I49" t="s">
        <v>14</v>
      </c>
      <c r="J49">
        <v>6</v>
      </c>
      <c r="K49">
        <v>7.5</v>
      </c>
      <c r="L49" t="s">
        <v>15</v>
      </c>
      <c r="M49" t="str">
        <f>IF(Table1[[#This Row],[Study_Hours_per_Week]]&lt;=5, "0-5",
 IF(Table1[[#This Row],[Study_Hours_per_Week]]&lt;=10, "6-10",
 IF(Table1[[#This Row],[Study_Hours_per_Week]]&lt;=15, "11-15",
 IF(Table1[[#This Row],[Study_Hours_per_Week]]&lt;=20, "16-20", "21+"))))</f>
        <v>16-20</v>
      </c>
      <c r="N49" t="str">
        <f>IF(Table1[[#This Row],[GPA]] &gt;= 2, "Pass", "Fail")</f>
        <v>Fail</v>
      </c>
      <c r="O49">
        <v>0.86799999999999999</v>
      </c>
      <c r="P49" t="str">
        <f t="shared" si="1"/>
        <v>Average</v>
      </c>
    </row>
    <row r="50" spans="1:16" x14ac:dyDescent="0.3">
      <c r="A50">
        <v>1049</v>
      </c>
      <c r="B50" t="s">
        <v>12</v>
      </c>
      <c r="C50">
        <v>19</v>
      </c>
      <c r="D50" t="s">
        <v>13</v>
      </c>
      <c r="E50" s="7">
        <v>18</v>
      </c>
      <c r="F50" s="6">
        <v>86.9</v>
      </c>
      <c r="G50">
        <v>10</v>
      </c>
      <c r="H50" s="4">
        <v>1.22</v>
      </c>
      <c r="I50" t="s">
        <v>17</v>
      </c>
      <c r="J50">
        <v>5</v>
      </c>
      <c r="K50">
        <v>5.6</v>
      </c>
      <c r="L50" t="s">
        <v>15</v>
      </c>
      <c r="M50" t="str">
        <f>IF(Table1[[#This Row],[Study_Hours_per_Week]]&lt;=5, "0-5",
 IF(Table1[[#This Row],[Study_Hours_per_Week]]&lt;=10, "6-10",
 IF(Table1[[#This Row],[Study_Hours_per_Week]]&lt;=15, "11-15",
 IF(Table1[[#This Row],[Study_Hours_per_Week]]&lt;=20, "16-20", "21+"))))</f>
        <v>16-20</v>
      </c>
      <c r="N50" t="str">
        <f>IF(Table1[[#This Row],[GPA]] &gt;= 2, "Pass", "Fail")</f>
        <v>Fail</v>
      </c>
      <c r="O50">
        <v>0.92400000000000004</v>
      </c>
      <c r="P50" t="str">
        <f t="shared" si="1"/>
        <v>Average</v>
      </c>
    </row>
    <row r="51" spans="1:16" hidden="1" x14ac:dyDescent="0.3">
      <c r="A51">
        <v>1050</v>
      </c>
      <c r="B51" t="s">
        <v>12</v>
      </c>
      <c r="C51">
        <v>22</v>
      </c>
      <c r="D51" t="s">
        <v>13</v>
      </c>
      <c r="E51" s="7">
        <v>18</v>
      </c>
      <c r="F51" s="6">
        <v>86.9</v>
      </c>
      <c r="G51">
        <v>9</v>
      </c>
      <c r="H51" s="4">
        <v>1.4</v>
      </c>
      <c r="I51" t="s">
        <v>14</v>
      </c>
      <c r="J51">
        <v>8</v>
      </c>
      <c r="K51">
        <v>6.9</v>
      </c>
      <c r="L51" t="s">
        <v>15</v>
      </c>
      <c r="M51" t="str">
        <f>IF(Table1[[#This Row],[Study_Hours_per_Week]]&lt;=5, "0-5",
 IF(Table1[[#This Row],[Study_Hours_per_Week]]&lt;=10, "6-10",
 IF(Table1[[#This Row],[Study_Hours_per_Week]]&lt;=15, "11-15",
 IF(Table1[[#This Row],[Study_Hours_per_Week]]&lt;=20, "16-20", "21+"))))</f>
        <v>16-20</v>
      </c>
      <c r="N51" t="str">
        <f>IF(Table1[[#This Row],[GPA]] &gt;= 2, "Pass", "Fail")</f>
        <v>Fail</v>
      </c>
      <c r="O51">
        <v>1.1040000000000001</v>
      </c>
      <c r="P51" t="str">
        <f t="shared" si="1"/>
        <v>Good</v>
      </c>
    </row>
    <row r="52" spans="1:16" hidden="1" x14ac:dyDescent="0.3">
      <c r="A52">
        <v>1051</v>
      </c>
      <c r="B52" t="s">
        <v>12</v>
      </c>
      <c r="C52">
        <v>22</v>
      </c>
      <c r="D52" t="s">
        <v>13</v>
      </c>
      <c r="E52" s="7">
        <v>18</v>
      </c>
      <c r="F52" s="6">
        <v>86.9</v>
      </c>
      <c r="G52">
        <v>7</v>
      </c>
      <c r="H52" s="4">
        <v>1.5</v>
      </c>
      <c r="I52" t="s">
        <v>14</v>
      </c>
      <c r="J52">
        <v>6</v>
      </c>
      <c r="K52">
        <v>7.9</v>
      </c>
      <c r="L52" t="s">
        <v>18</v>
      </c>
      <c r="M52" t="str">
        <f>IF(Table1[[#This Row],[Study_Hours_per_Week]]&lt;=5, "0-5",
 IF(Table1[[#This Row],[Study_Hours_per_Week]]&lt;=10, "6-10",
 IF(Table1[[#This Row],[Study_Hours_per_Week]]&lt;=15, "11-15",
 IF(Table1[[#This Row],[Study_Hours_per_Week]]&lt;=20, "16-20", "21+"))))</f>
        <v>16-20</v>
      </c>
      <c r="N52" t="str">
        <f>IF(Table1[[#This Row],[GPA]] &gt;= 2, "Pass", "Fail")</f>
        <v>Fail</v>
      </c>
      <c r="O52">
        <v>1.1539999999999999</v>
      </c>
      <c r="P52" t="str">
        <f t="shared" si="1"/>
        <v>Good</v>
      </c>
    </row>
    <row r="53" spans="1:16" hidden="1" x14ac:dyDescent="0.3">
      <c r="A53">
        <v>1052</v>
      </c>
      <c r="B53" t="s">
        <v>12</v>
      </c>
      <c r="C53">
        <v>23</v>
      </c>
      <c r="D53" t="s">
        <v>13</v>
      </c>
      <c r="E53" s="7">
        <v>18</v>
      </c>
      <c r="F53" s="6">
        <v>86.9</v>
      </c>
      <c r="G53">
        <v>9</v>
      </c>
      <c r="H53" s="4">
        <v>1.25</v>
      </c>
      <c r="I53" t="s">
        <v>14</v>
      </c>
      <c r="J53">
        <v>4</v>
      </c>
      <c r="K53">
        <v>6.5</v>
      </c>
      <c r="L53" t="s">
        <v>18</v>
      </c>
      <c r="M53" t="str">
        <f>IF(Table1[[#This Row],[Study_Hours_per_Week]]&lt;=5, "0-5",
 IF(Table1[[#This Row],[Study_Hours_per_Week]]&lt;=10, "6-10",
 IF(Table1[[#This Row],[Study_Hours_per_Week]]&lt;=15, "11-15",
 IF(Table1[[#This Row],[Study_Hours_per_Week]]&lt;=20, "16-20", "21+"))))</f>
        <v>16-20</v>
      </c>
      <c r="N53" t="str">
        <f>IF(Table1[[#This Row],[GPA]] &gt;= 2, "Pass", "Fail")</f>
        <v>Fail</v>
      </c>
      <c r="O53">
        <v>1.0049999999999999</v>
      </c>
      <c r="P53" t="str">
        <f t="shared" si="1"/>
        <v>Average</v>
      </c>
    </row>
    <row r="54" spans="1:16" hidden="1" x14ac:dyDescent="0.3">
      <c r="A54">
        <v>1053</v>
      </c>
      <c r="B54" t="s">
        <v>16</v>
      </c>
      <c r="C54">
        <v>20</v>
      </c>
      <c r="D54" t="s">
        <v>13</v>
      </c>
      <c r="E54" s="7">
        <v>18</v>
      </c>
      <c r="F54" s="6">
        <v>86.9</v>
      </c>
      <c r="G54">
        <v>10</v>
      </c>
      <c r="H54" s="4">
        <v>2.21</v>
      </c>
      <c r="I54" t="s">
        <v>14</v>
      </c>
      <c r="J54">
        <v>6</v>
      </c>
      <c r="K54">
        <v>5.9</v>
      </c>
      <c r="L54" t="s">
        <v>15</v>
      </c>
      <c r="M54" t="str">
        <f>IF(Table1[[#This Row],[Study_Hours_per_Week]]&lt;=5, "0-5",
 IF(Table1[[#This Row],[Study_Hours_per_Week]]&lt;=10, "6-10",
 IF(Table1[[#This Row],[Study_Hours_per_Week]]&lt;=15, "11-15",
 IF(Table1[[#This Row],[Study_Hours_per_Week]]&lt;=20, "16-20", "21+"))))</f>
        <v>16-20</v>
      </c>
      <c r="N54" t="str">
        <f>IF(Table1[[#This Row],[GPA]] &gt;= 2, "Pass", "Fail")</f>
        <v>Pass</v>
      </c>
      <c r="O54">
        <v>1.641</v>
      </c>
      <c r="P54" t="str">
        <f t="shared" si="1"/>
        <v>Excellent</v>
      </c>
    </row>
    <row r="55" spans="1:16" hidden="1" x14ac:dyDescent="0.3">
      <c r="A55">
        <v>1054</v>
      </c>
      <c r="B55" t="s">
        <v>16</v>
      </c>
      <c r="C55">
        <v>22</v>
      </c>
      <c r="D55" t="s">
        <v>13</v>
      </c>
      <c r="E55" s="7">
        <v>18</v>
      </c>
      <c r="F55" s="6">
        <v>86.9</v>
      </c>
      <c r="G55">
        <v>3</v>
      </c>
      <c r="H55" s="4">
        <v>1.07</v>
      </c>
      <c r="I55" t="s">
        <v>19</v>
      </c>
      <c r="J55">
        <v>4</v>
      </c>
      <c r="K55">
        <v>7.1</v>
      </c>
      <c r="L55" t="s">
        <v>15</v>
      </c>
      <c r="M55" t="str">
        <f>IF(Table1[[#This Row],[Study_Hours_per_Week]]&lt;=5, "0-5",
 IF(Table1[[#This Row],[Study_Hours_per_Week]]&lt;=10, "6-10",
 IF(Table1[[#This Row],[Study_Hours_per_Week]]&lt;=15, "11-15",
 IF(Table1[[#This Row],[Study_Hours_per_Week]]&lt;=20, "16-20", "21+"))))</f>
        <v>16-20</v>
      </c>
      <c r="N55" t="str">
        <f>IF(Table1[[#This Row],[GPA]] &gt;= 2, "Pass", "Fail")</f>
        <v>Fail</v>
      </c>
      <c r="O55">
        <v>0.90500000000000003</v>
      </c>
      <c r="P55" t="str">
        <f t="shared" si="1"/>
        <v>Average</v>
      </c>
    </row>
    <row r="56" spans="1:16" hidden="1" x14ac:dyDescent="0.3">
      <c r="A56">
        <v>1055</v>
      </c>
      <c r="B56" t="s">
        <v>16</v>
      </c>
      <c r="C56">
        <v>19</v>
      </c>
      <c r="D56" t="s">
        <v>13</v>
      </c>
      <c r="E56" s="7">
        <v>18</v>
      </c>
      <c r="F56" s="6">
        <v>86.9</v>
      </c>
      <c r="G56">
        <v>6</v>
      </c>
      <c r="H56" s="4">
        <v>1.21</v>
      </c>
      <c r="I56" t="s">
        <v>19</v>
      </c>
      <c r="J56">
        <v>6</v>
      </c>
      <c r="K56">
        <v>8.3000000000000007</v>
      </c>
      <c r="L56" t="s">
        <v>15</v>
      </c>
      <c r="M56" t="str">
        <f>IF(Table1[[#This Row],[Study_Hours_per_Week]]&lt;=5, "0-5",
 IF(Table1[[#This Row],[Study_Hours_per_Week]]&lt;=10, "6-10",
 IF(Table1[[#This Row],[Study_Hours_per_Week]]&lt;=15, "11-15",
 IF(Table1[[#This Row],[Study_Hours_per_Week]]&lt;=20, "16-20", "21+"))))</f>
        <v>16-20</v>
      </c>
      <c r="N56" t="str">
        <f>IF(Table1[[#This Row],[GPA]] &gt;= 2, "Pass", "Fail")</f>
        <v>Fail</v>
      </c>
      <c r="O56">
        <v>1.004</v>
      </c>
      <c r="P56" t="str">
        <f t="shared" si="1"/>
        <v>Average</v>
      </c>
    </row>
    <row r="57" spans="1:16" hidden="1" x14ac:dyDescent="0.3">
      <c r="A57">
        <v>1056</v>
      </c>
      <c r="B57" t="s">
        <v>12</v>
      </c>
      <c r="C57">
        <v>19</v>
      </c>
      <c r="D57" t="s">
        <v>13</v>
      </c>
      <c r="E57" s="7">
        <v>18</v>
      </c>
      <c r="F57" s="6">
        <v>86.9</v>
      </c>
      <c r="G57">
        <v>6</v>
      </c>
      <c r="H57" s="4">
        <v>0.97</v>
      </c>
      <c r="I57" t="s">
        <v>14</v>
      </c>
      <c r="J57">
        <v>4</v>
      </c>
      <c r="K57">
        <v>6.7</v>
      </c>
      <c r="L57" t="s">
        <v>18</v>
      </c>
      <c r="M57" t="str">
        <f>IF(Table1[[#This Row],[Study_Hours_per_Week]]&lt;=5, "0-5",
 IF(Table1[[#This Row],[Study_Hours_per_Week]]&lt;=10, "6-10",
 IF(Table1[[#This Row],[Study_Hours_per_Week]]&lt;=15, "11-15",
 IF(Table1[[#This Row],[Study_Hours_per_Week]]&lt;=20, "16-20", "21+"))))</f>
        <v>16-20</v>
      </c>
      <c r="N57" t="str">
        <f>IF(Table1[[#This Row],[GPA]] &gt;= 2, "Pass", "Fail")</f>
        <v>Fail</v>
      </c>
      <c r="O57">
        <v>0.86399999999999999</v>
      </c>
      <c r="P57" t="str">
        <f t="shared" si="1"/>
        <v>Below Average</v>
      </c>
    </row>
    <row r="58" spans="1:16" hidden="1" x14ac:dyDescent="0.3">
      <c r="A58">
        <v>1057</v>
      </c>
      <c r="B58" t="s">
        <v>16</v>
      </c>
      <c r="C58">
        <v>23</v>
      </c>
      <c r="D58" t="s">
        <v>13</v>
      </c>
      <c r="E58" s="7">
        <v>18</v>
      </c>
      <c r="F58" s="6">
        <v>86.9</v>
      </c>
      <c r="G58">
        <v>7</v>
      </c>
      <c r="H58" s="4">
        <v>1.48</v>
      </c>
      <c r="I58" t="s">
        <v>19</v>
      </c>
      <c r="J58">
        <v>4</v>
      </c>
      <c r="K58">
        <v>6.4</v>
      </c>
      <c r="L58" t="s">
        <v>18</v>
      </c>
      <c r="M58" t="str">
        <f>IF(Table1[[#This Row],[Study_Hours_per_Week]]&lt;=5, "0-5",
 IF(Table1[[#This Row],[Study_Hours_per_Week]]&lt;=10, "6-10",
 IF(Table1[[#This Row],[Study_Hours_per_Week]]&lt;=15, "11-15",
 IF(Table1[[#This Row],[Study_Hours_per_Week]]&lt;=20, "16-20", "21+"))))</f>
        <v>16-20</v>
      </c>
      <c r="N58" t="str">
        <f>IF(Table1[[#This Row],[GPA]] &gt;= 2, "Pass", "Fail")</f>
        <v>Fail</v>
      </c>
      <c r="O58">
        <v>1.196</v>
      </c>
      <c r="P58" t="str">
        <f t="shared" si="1"/>
        <v>Good</v>
      </c>
    </row>
    <row r="59" spans="1:16" hidden="1" x14ac:dyDescent="0.3">
      <c r="A59">
        <v>1058</v>
      </c>
      <c r="B59" t="s">
        <v>12</v>
      </c>
      <c r="C59">
        <v>19</v>
      </c>
      <c r="D59" t="s">
        <v>13</v>
      </c>
      <c r="E59" s="7">
        <v>18</v>
      </c>
      <c r="F59" s="6">
        <v>86.9</v>
      </c>
      <c r="G59">
        <v>5</v>
      </c>
      <c r="H59" s="4">
        <v>0.91</v>
      </c>
      <c r="I59" t="s">
        <v>14</v>
      </c>
      <c r="J59">
        <v>3</v>
      </c>
      <c r="K59">
        <v>5.8</v>
      </c>
      <c r="L59" t="s">
        <v>15</v>
      </c>
      <c r="M59" t="str">
        <f>IF(Table1[[#This Row],[Study_Hours_per_Week]]&lt;=5, "0-5",
 IF(Table1[[#This Row],[Study_Hours_per_Week]]&lt;=10, "6-10",
 IF(Table1[[#This Row],[Study_Hours_per_Week]]&lt;=15, "11-15",
 IF(Table1[[#This Row],[Study_Hours_per_Week]]&lt;=20, "16-20", "21+"))))</f>
        <v>16-20</v>
      </c>
      <c r="N59" t="str">
        <f>IF(Table1[[#This Row],[GPA]] &gt;= 2, "Pass", "Fail")</f>
        <v>Fail</v>
      </c>
      <c r="O59">
        <v>0.82499999999999996</v>
      </c>
      <c r="P59" t="str">
        <f t="shared" si="1"/>
        <v>Below Average</v>
      </c>
    </row>
    <row r="60" spans="1:16" hidden="1" x14ac:dyDescent="0.3">
      <c r="A60">
        <v>1059</v>
      </c>
      <c r="B60" t="s">
        <v>12</v>
      </c>
      <c r="C60">
        <v>20</v>
      </c>
      <c r="D60" t="s">
        <v>13</v>
      </c>
      <c r="E60" s="7">
        <v>18</v>
      </c>
      <c r="F60" s="6">
        <v>86.9</v>
      </c>
      <c r="G60">
        <v>8</v>
      </c>
      <c r="H60" s="4">
        <v>0.87</v>
      </c>
      <c r="I60" t="s">
        <v>14</v>
      </c>
      <c r="J60">
        <v>6</v>
      </c>
      <c r="K60">
        <v>7.1</v>
      </c>
      <c r="L60" t="s">
        <v>18</v>
      </c>
      <c r="M60" t="str">
        <f>IF(Table1[[#This Row],[Study_Hours_per_Week]]&lt;=5, "0-5",
 IF(Table1[[#This Row],[Study_Hours_per_Week]]&lt;=10, "6-10",
 IF(Table1[[#This Row],[Study_Hours_per_Week]]&lt;=15, "11-15",
 IF(Table1[[#This Row],[Study_Hours_per_Week]]&lt;=20, "16-20", "21+"))))</f>
        <v>16-20</v>
      </c>
      <c r="N60" t="str">
        <f>IF(Table1[[#This Row],[GPA]] &gt;= 2, "Pass", "Fail")</f>
        <v>Fail</v>
      </c>
      <c r="O60">
        <v>0.77600000000000002</v>
      </c>
      <c r="P60" t="str">
        <f t="shared" si="1"/>
        <v>Below Average</v>
      </c>
    </row>
    <row r="61" spans="1:16" hidden="1" x14ac:dyDescent="0.3">
      <c r="A61">
        <v>1060</v>
      </c>
      <c r="B61" t="s">
        <v>16</v>
      </c>
      <c r="C61">
        <v>20</v>
      </c>
      <c r="D61" t="s">
        <v>13</v>
      </c>
      <c r="E61" s="7">
        <v>18</v>
      </c>
      <c r="F61" s="6">
        <v>86.9</v>
      </c>
      <c r="G61">
        <v>10</v>
      </c>
      <c r="H61" s="4">
        <v>0.79</v>
      </c>
      <c r="I61" t="s">
        <v>14</v>
      </c>
      <c r="J61">
        <v>1</v>
      </c>
      <c r="K61">
        <v>6</v>
      </c>
      <c r="L61" t="s">
        <v>18</v>
      </c>
      <c r="M61" t="str">
        <f>IF(Table1[[#This Row],[Study_Hours_per_Week]]&lt;=5, "0-5",
 IF(Table1[[#This Row],[Study_Hours_per_Week]]&lt;=10, "6-10",
 IF(Table1[[#This Row],[Study_Hours_per_Week]]&lt;=15, "11-15",
 IF(Table1[[#This Row],[Study_Hours_per_Week]]&lt;=20, "16-20", "21+"))))</f>
        <v>16-20</v>
      </c>
      <c r="N61" t="str">
        <f>IF(Table1[[#This Row],[GPA]] &gt;= 2, "Pass", "Fail")</f>
        <v>Fail</v>
      </c>
      <c r="O61">
        <v>0.72</v>
      </c>
      <c r="P61" t="str">
        <f t="shared" si="1"/>
        <v>Below Average</v>
      </c>
    </row>
    <row r="62" spans="1:16" hidden="1" x14ac:dyDescent="0.3">
      <c r="A62">
        <v>1061</v>
      </c>
      <c r="B62" t="s">
        <v>12</v>
      </c>
      <c r="C62">
        <v>21</v>
      </c>
      <c r="D62" t="s">
        <v>13</v>
      </c>
      <c r="E62" s="7">
        <v>18</v>
      </c>
      <c r="F62" s="6">
        <v>86.9</v>
      </c>
      <c r="G62">
        <v>6</v>
      </c>
      <c r="H62" s="4">
        <v>1.35</v>
      </c>
      <c r="I62" t="s">
        <v>19</v>
      </c>
      <c r="J62">
        <v>4</v>
      </c>
      <c r="K62">
        <v>6.5</v>
      </c>
      <c r="L62" t="s">
        <v>15</v>
      </c>
      <c r="M62" t="str">
        <f>IF(Table1[[#This Row],[Study_Hours_per_Week]]&lt;=5, "0-5",
 IF(Table1[[#This Row],[Study_Hours_per_Week]]&lt;=10, "6-10",
 IF(Table1[[#This Row],[Study_Hours_per_Week]]&lt;=15, "11-15",
 IF(Table1[[#This Row],[Study_Hours_per_Week]]&lt;=20, "16-20", "21+"))))</f>
        <v>16-20</v>
      </c>
      <c r="N62" t="str">
        <f>IF(Table1[[#This Row],[GPA]] &gt;= 2, "Pass", "Fail")</f>
        <v>Fail</v>
      </c>
      <c r="O62">
        <v>1.091</v>
      </c>
      <c r="P62" t="str">
        <f t="shared" si="1"/>
        <v>Average</v>
      </c>
    </row>
    <row r="63" spans="1:16" hidden="1" x14ac:dyDescent="0.3">
      <c r="A63">
        <v>1062</v>
      </c>
      <c r="B63" t="s">
        <v>16</v>
      </c>
      <c r="C63">
        <v>23</v>
      </c>
      <c r="D63" t="s">
        <v>13</v>
      </c>
      <c r="E63" s="7">
        <v>18</v>
      </c>
      <c r="F63" s="6">
        <v>86.9</v>
      </c>
      <c r="G63">
        <v>4</v>
      </c>
      <c r="H63" s="4">
        <v>0.94</v>
      </c>
      <c r="I63" t="s">
        <v>19</v>
      </c>
      <c r="J63">
        <v>9</v>
      </c>
      <c r="K63">
        <v>7.2</v>
      </c>
      <c r="L63" t="s">
        <v>15</v>
      </c>
      <c r="M63" t="str">
        <f>IF(Table1[[#This Row],[Study_Hours_per_Week]]&lt;=5, "0-5",
 IF(Table1[[#This Row],[Study_Hours_per_Week]]&lt;=10, "6-10",
 IF(Table1[[#This Row],[Study_Hours_per_Week]]&lt;=15, "11-15",
 IF(Table1[[#This Row],[Study_Hours_per_Week]]&lt;=20, "16-20", "21+"))))</f>
        <v>16-20</v>
      </c>
      <c r="N63" t="str">
        <f>IF(Table1[[#This Row],[GPA]] &gt;= 2, "Pass", "Fail")</f>
        <v>Fail</v>
      </c>
      <c r="O63">
        <v>0.81599999999999995</v>
      </c>
      <c r="P63" t="str">
        <f t="shared" si="1"/>
        <v>Below Average</v>
      </c>
    </row>
    <row r="64" spans="1:16" hidden="1" x14ac:dyDescent="0.3">
      <c r="A64">
        <v>1063</v>
      </c>
      <c r="B64" t="s">
        <v>16</v>
      </c>
      <c r="C64">
        <v>21</v>
      </c>
      <c r="D64" t="s">
        <v>13</v>
      </c>
      <c r="E64" s="7">
        <v>18</v>
      </c>
      <c r="F64" s="6">
        <v>86.9</v>
      </c>
      <c r="G64">
        <v>6</v>
      </c>
      <c r="H64" s="4">
        <v>0.61</v>
      </c>
      <c r="I64" t="s">
        <v>14</v>
      </c>
      <c r="J64">
        <v>2</v>
      </c>
      <c r="K64">
        <v>5.9</v>
      </c>
      <c r="L64" t="s">
        <v>15</v>
      </c>
      <c r="M64" t="str">
        <f>IF(Table1[[#This Row],[Study_Hours_per_Week]]&lt;=5, "0-5",
 IF(Table1[[#This Row],[Study_Hours_per_Week]]&lt;=10, "6-10",
 IF(Table1[[#This Row],[Study_Hours_per_Week]]&lt;=15, "11-15",
 IF(Table1[[#This Row],[Study_Hours_per_Week]]&lt;=20, "16-20", "21+"))))</f>
        <v>16-20</v>
      </c>
      <c r="N64" t="str">
        <f>IF(Table1[[#This Row],[GPA]] &gt;= 2, "Pass", "Fail")</f>
        <v>Fail</v>
      </c>
      <c r="O64">
        <v>0.61</v>
      </c>
      <c r="P64" t="str">
        <f t="shared" si="1"/>
        <v>Below Average</v>
      </c>
    </row>
    <row r="65" spans="1:16" hidden="1" x14ac:dyDescent="0.3">
      <c r="A65">
        <v>1064</v>
      </c>
      <c r="B65" t="s">
        <v>16</v>
      </c>
      <c r="C65">
        <v>22</v>
      </c>
      <c r="D65" t="s">
        <v>13</v>
      </c>
      <c r="E65" s="7">
        <v>18</v>
      </c>
      <c r="F65" s="6">
        <v>86.9</v>
      </c>
      <c r="G65">
        <v>7</v>
      </c>
      <c r="H65" s="4">
        <v>1</v>
      </c>
      <c r="I65" t="s">
        <v>17</v>
      </c>
      <c r="J65">
        <v>3</v>
      </c>
      <c r="K65">
        <v>9</v>
      </c>
      <c r="L65" t="s">
        <v>18</v>
      </c>
      <c r="M65" t="str">
        <f>IF(Table1[[#This Row],[Study_Hours_per_Week]]&lt;=5, "0-5",
 IF(Table1[[#This Row],[Study_Hours_per_Week]]&lt;=10, "6-10",
 IF(Table1[[#This Row],[Study_Hours_per_Week]]&lt;=15, "11-15",
 IF(Table1[[#This Row],[Study_Hours_per_Week]]&lt;=20, "16-20", "21+"))))</f>
        <v>16-20</v>
      </c>
      <c r="N65" t="str">
        <f>IF(Table1[[#This Row],[GPA]] &gt;= 2, "Pass", "Fail")</f>
        <v>Fail</v>
      </c>
      <c r="O65">
        <v>0.85899999999999999</v>
      </c>
      <c r="P65" t="str">
        <f t="shared" si="1"/>
        <v>Average</v>
      </c>
    </row>
    <row r="66" spans="1:16" hidden="1" x14ac:dyDescent="0.3">
      <c r="A66">
        <v>1065</v>
      </c>
      <c r="B66" t="s">
        <v>12</v>
      </c>
      <c r="C66">
        <v>19</v>
      </c>
      <c r="D66" t="s">
        <v>13</v>
      </c>
      <c r="E66" s="7">
        <v>18</v>
      </c>
      <c r="F66" s="6">
        <v>86.9</v>
      </c>
      <c r="G66">
        <v>5</v>
      </c>
      <c r="H66" s="4">
        <v>2.02</v>
      </c>
      <c r="I66" t="s">
        <v>17</v>
      </c>
      <c r="J66">
        <v>4</v>
      </c>
      <c r="K66">
        <v>7.6</v>
      </c>
      <c r="L66" t="s">
        <v>18</v>
      </c>
      <c r="M66" t="str">
        <f>IF(Table1[[#This Row],[Study_Hours_per_Week]]&lt;=5, "0-5",
 IF(Table1[[#This Row],[Study_Hours_per_Week]]&lt;=10, "6-10",
 IF(Table1[[#This Row],[Study_Hours_per_Week]]&lt;=15, "11-15",
 IF(Table1[[#This Row],[Study_Hours_per_Week]]&lt;=20, "16-20", "21+"))))</f>
        <v>16-20</v>
      </c>
      <c r="N66" t="str">
        <f>IF(Table1[[#This Row],[GPA]] &gt;= 2, "Pass", "Fail")</f>
        <v>Pass</v>
      </c>
      <c r="O66">
        <v>1.4810000000000001</v>
      </c>
      <c r="P66" t="str">
        <f t="shared" ref="P66:P97" si="2">IF(H66&gt;=1.8,"Excellent",IF(H66&gt;=1.4,"Good",IF(H66&gt;=1,"Average","Below Average")))</f>
        <v>Excellent</v>
      </c>
    </row>
    <row r="67" spans="1:16" hidden="1" x14ac:dyDescent="0.3">
      <c r="A67">
        <v>1066</v>
      </c>
      <c r="B67" t="s">
        <v>16</v>
      </c>
      <c r="C67">
        <v>19</v>
      </c>
      <c r="D67" t="s">
        <v>13</v>
      </c>
      <c r="E67" s="7">
        <v>18</v>
      </c>
      <c r="F67" s="6">
        <v>86.9</v>
      </c>
      <c r="G67">
        <v>9</v>
      </c>
      <c r="H67" s="4">
        <v>1.63</v>
      </c>
      <c r="I67" t="s">
        <v>14</v>
      </c>
      <c r="J67">
        <v>4</v>
      </c>
      <c r="K67">
        <v>7.1</v>
      </c>
      <c r="L67" t="s">
        <v>15</v>
      </c>
      <c r="M67" t="str">
        <f>IF(Table1[[#This Row],[Study_Hours_per_Week]]&lt;=5, "0-5",
 IF(Table1[[#This Row],[Study_Hours_per_Week]]&lt;=10, "6-10",
 IF(Table1[[#This Row],[Study_Hours_per_Week]]&lt;=15, "11-15",
 IF(Table1[[#This Row],[Study_Hours_per_Week]]&lt;=20, "16-20", "21+"))))</f>
        <v>16-20</v>
      </c>
      <c r="N67" t="str">
        <f>IF(Table1[[#This Row],[GPA]] &gt;= 2, "Pass", "Fail")</f>
        <v>Fail</v>
      </c>
      <c r="O67">
        <v>1.208</v>
      </c>
      <c r="P67" t="str">
        <f t="shared" si="2"/>
        <v>Good</v>
      </c>
    </row>
    <row r="68" spans="1:16" hidden="1" x14ac:dyDescent="0.3">
      <c r="A68">
        <v>1067</v>
      </c>
      <c r="B68" t="s">
        <v>16</v>
      </c>
      <c r="C68">
        <v>24</v>
      </c>
      <c r="D68" t="s">
        <v>13</v>
      </c>
      <c r="E68" s="7">
        <v>18</v>
      </c>
      <c r="F68" s="6">
        <v>86.9</v>
      </c>
      <c r="G68">
        <v>10</v>
      </c>
      <c r="H68" s="4">
        <v>1.22</v>
      </c>
      <c r="I68" t="s">
        <v>14</v>
      </c>
      <c r="J68">
        <v>5</v>
      </c>
      <c r="K68">
        <v>6.8</v>
      </c>
      <c r="L68" t="s">
        <v>15</v>
      </c>
      <c r="M68" t="str">
        <f>IF(Table1[[#This Row],[Study_Hours_per_Week]]&lt;=5, "0-5",
 IF(Table1[[#This Row],[Study_Hours_per_Week]]&lt;=10, "6-10",
 IF(Table1[[#This Row],[Study_Hours_per_Week]]&lt;=15, "11-15",
 IF(Table1[[#This Row],[Study_Hours_per_Week]]&lt;=20, "16-20", "21+"))))</f>
        <v>16-20</v>
      </c>
      <c r="N68" t="str">
        <f>IF(Table1[[#This Row],[GPA]] &gt;= 2, "Pass", "Fail")</f>
        <v>Fail</v>
      </c>
      <c r="O68">
        <v>0.96699999999999997</v>
      </c>
      <c r="P68" t="str">
        <f t="shared" si="2"/>
        <v>Average</v>
      </c>
    </row>
    <row r="69" spans="1:16" hidden="1" x14ac:dyDescent="0.3">
      <c r="A69">
        <v>1068</v>
      </c>
      <c r="B69" t="s">
        <v>16</v>
      </c>
      <c r="C69">
        <v>24</v>
      </c>
      <c r="D69" t="s">
        <v>13</v>
      </c>
      <c r="E69" s="7">
        <v>18</v>
      </c>
      <c r="F69" s="6">
        <v>86.9</v>
      </c>
      <c r="G69">
        <v>10</v>
      </c>
      <c r="H69" s="4">
        <v>1.25</v>
      </c>
      <c r="I69" t="s">
        <v>19</v>
      </c>
      <c r="J69">
        <v>5</v>
      </c>
      <c r="K69">
        <v>6</v>
      </c>
      <c r="L69" t="s">
        <v>18</v>
      </c>
      <c r="M69" t="str">
        <f>IF(Table1[[#This Row],[Study_Hours_per_Week]]&lt;=5, "0-5",
 IF(Table1[[#This Row],[Study_Hours_per_Week]]&lt;=10, "6-10",
 IF(Table1[[#This Row],[Study_Hours_per_Week]]&lt;=15, "11-15",
 IF(Table1[[#This Row],[Study_Hours_per_Week]]&lt;=20, "16-20", "21+"))))</f>
        <v>16-20</v>
      </c>
      <c r="N69" t="str">
        <f>IF(Table1[[#This Row],[GPA]] &gt;= 2, "Pass", "Fail")</f>
        <v>Fail</v>
      </c>
      <c r="O69">
        <v>0.94399999999999995</v>
      </c>
      <c r="P69" t="str">
        <f t="shared" si="2"/>
        <v>Average</v>
      </c>
    </row>
    <row r="70" spans="1:16" hidden="1" x14ac:dyDescent="0.3">
      <c r="A70">
        <v>1069</v>
      </c>
      <c r="B70" t="s">
        <v>16</v>
      </c>
      <c r="C70">
        <v>20</v>
      </c>
      <c r="D70" t="s">
        <v>13</v>
      </c>
      <c r="E70" s="7">
        <v>18</v>
      </c>
      <c r="F70" s="6">
        <v>86.9</v>
      </c>
      <c r="G70">
        <v>8</v>
      </c>
      <c r="H70" s="4">
        <v>1.48</v>
      </c>
      <c r="I70" t="s">
        <v>19</v>
      </c>
      <c r="J70">
        <v>5</v>
      </c>
      <c r="K70">
        <v>7.7</v>
      </c>
      <c r="L70" t="s">
        <v>18</v>
      </c>
      <c r="M70" t="str">
        <f>IF(Table1[[#This Row],[Study_Hours_per_Week]]&lt;=5, "0-5",
 IF(Table1[[#This Row],[Study_Hours_per_Week]]&lt;=10, "6-10",
 IF(Table1[[#This Row],[Study_Hours_per_Week]]&lt;=15, "11-15",
 IF(Table1[[#This Row],[Study_Hours_per_Week]]&lt;=20, "16-20", "21+"))))</f>
        <v>16-20</v>
      </c>
      <c r="N70" t="str">
        <f>IF(Table1[[#This Row],[GPA]] &gt;= 2, "Pass", "Fail")</f>
        <v>Fail</v>
      </c>
      <c r="O70">
        <v>1.165</v>
      </c>
      <c r="P70" t="str">
        <f t="shared" si="2"/>
        <v>Good</v>
      </c>
    </row>
    <row r="71" spans="1:16" hidden="1" x14ac:dyDescent="0.3">
      <c r="A71">
        <v>1070</v>
      </c>
      <c r="B71" t="s">
        <v>16</v>
      </c>
      <c r="C71">
        <v>24</v>
      </c>
      <c r="D71" t="s">
        <v>13</v>
      </c>
      <c r="E71" s="7">
        <v>18</v>
      </c>
      <c r="F71" s="6">
        <v>86.9</v>
      </c>
      <c r="G71">
        <v>10</v>
      </c>
      <c r="H71" s="4">
        <v>0.31</v>
      </c>
      <c r="I71" t="s">
        <v>14</v>
      </c>
      <c r="J71">
        <v>2</v>
      </c>
      <c r="K71">
        <v>5.7</v>
      </c>
      <c r="L71" t="s">
        <v>15</v>
      </c>
      <c r="M71" t="str">
        <f>IF(Table1[[#This Row],[Study_Hours_per_Week]]&lt;=5, "0-5",
 IF(Table1[[#This Row],[Study_Hours_per_Week]]&lt;=10, "6-10",
 IF(Table1[[#This Row],[Study_Hours_per_Week]]&lt;=15, "11-15",
 IF(Table1[[#This Row],[Study_Hours_per_Week]]&lt;=20, "16-20", "21+"))))</f>
        <v>16-20</v>
      </c>
      <c r="N71" t="str">
        <f>IF(Table1[[#This Row],[GPA]] &gt;= 2, "Pass", "Fail")</f>
        <v>Fail</v>
      </c>
      <c r="O71">
        <v>0.40899999999999997</v>
      </c>
      <c r="P71" t="str">
        <f t="shared" si="2"/>
        <v>Below Average</v>
      </c>
    </row>
    <row r="72" spans="1:16" hidden="1" x14ac:dyDescent="0.3">
      <c r="A72">
        <v>1071</v>
      </c>
      <c r="B72" t="s">
        <v>12</v>
      </c>
      <c r="C72">
        <v>24</v>
      </c>
      <c r="D72" t="s">
        <v>13</v>
      </c>
      <c r="E72" s="7">
        <v>18</v>
      </c>
      <c r="F72" s="6">
        <v>86.9</v>
      </c>
      <c r="G72">
        <v>10</v>
      </c>
      <c r="H72" s="4">
        <v>1.25</v>
      </c>
      <c r="I72" t="s">
        <v>17</v>
      </c>
      <c r="J72">
        <v>5</v>
      </c>
      <c r="K72">
        <v>6.8</v>
      </c>
      <c r="L72" t="s">
        <v>18</v>
      </c>
      <c r="M72" t="str">
        <f>IF(Table1[[#This Row],[Study_Hours_per_Week]]&lt;=5, "0-5",
 IF(Table1[[#This Row],[Study_Hours_per_Week]]&lt;=10, "6-10",
 IF(Table1[[#This Row],[Study_Hours_per_Week]]&lt;=15, "11-15",
 IF(Table1[[#This Row],[Study_Hours_per_Week]]&lt;=20, "16-20", "21+"))))</f>
        <v>16-20</v>
      </c>
      <c r="N72" t="str">
        <f>IF(Table1[[#This Row],[GPA]] &gt;= 2, "Pass", "Fail")</f>
        <v>Fail</v>
      </c>
      <c r="O72">
        <v>1.0049999999999999</v>
      </c>
      <c r="P72" t="str">
        <f t="shared" si="2"/>
        <v>Average</v>
      </c>
    </row>
    <row r="73" spans="1:16" hidden="1" x14ac:dyDescent="0.3">
      <c r="A73">
        <v>1072</v>
      </c>
      <c r="B73" t="s">
        <v>16</v>
      </c>
      <c r="C73">
        <v>21</v>
      </c>
      <c r="D73" t="s">
        <v>13</v>
      </c>
      <c r="E73" s="7">
        <v>18</v>
      </c>
      <c r="F73" s="6">
        <v>86.9</v>
      </c>
      <c r="G73">
        <v>9</v>
      </c>
      <c r="H73" s="4">
        <v>1.27</v>
      </c>
      <c r="I73" t="s">
        <v>14</v>
      </c>
      <c r="J73">
        <v>7</v>
      </c>
      <c r="K73">
        <v>5.9</v>
      </c>
      <c r="L73" t="s">
        <v>15</v>
      </c>
      <c r="M73" t="str">
        <f>IF(Table1[[#This Row],[Study_Hours_per_Week]]&lt;=5, "0-5",
 IF(Table1[[#This Row],[Study_Hours_per_Week]]&lt;=10, "6-10",
 IF(Table1[[#This Row],[Study_Hours_per_Week]]&lt;=15, "11-15",
 IF(Table1[[#This Row],[Study_Hours_per_Week]]&lt;=20, "16-20", "21+"))))</f>
        <v>16-20</v>
      </c>
      <c r="N73" t="str">
        <f>IF(Table1[[#This Row],[GPA]] &gt;= 2, "Pass", "Fail")</f>
        <v>Fail</v>
      </c>
      <c r="O73">
        <v>1.0780000000000001</v>
      </c>
      <c r="P73" t="str">
        <f t="shared" si="2"/>
        <v>Average</v>
      </c>
    </row>
    <row r="74" spans="1:16" hidden="1" x14ac:dyDescent="0.3">
      <c r="A74">
        <v>1073</v>
      </c>
      <c r="B74" t="s">
        <v>16</v>
      </c>
      <c r="C74">
        <v>21</v>
      </c>
      <c r="D74" t="s">
        <v>13</v>
      </c>
      <c r="E74" s="7">
        <v>18</v>
      </c>
      <c r="F74" s="6">
        <v>86.9</v>
      </c>
      <c r="G74">
        <v>8</v>
      </c>
      <c r="H74" s="4">
        <v>1.28</v>
      </c>
      <c r="I74" t="s">
        <v>14</v>
      </c>
      <c r="J74">
        <v>7</v>
      </c>
      <c r="K74">
        <v>5.6</v>
      </c>
      <c r="L74" t="s">
        <v>15</v>
      </c>
      <c r="M74" t="str">
        <f>IF(Table1[[#This Row],[Study_Hours_per_Week]]&lt;=5, "0-5",
 IF(Table1[[#This Row],[Study_Hours_per_Week]]&lt;=10, "6-10",
 IF(Table1[[#This Row],[Study_Hours_per_Week]]&lt;=15, "11-15",
 IF(Table1[[#This Row],[Study_Hours_per_Week]]&lt;=20, "16-20", "21+"))))</f>
        <v>16-20</v>
      </c>
      <c r="N74" t="str">
        <f>IF(Table1[[#This Row],[GPA]] &gt;= 2, "Pass", "Fail")</f>
        <v>Fail</v>
      </c>
      <c r="O74">
        <v>1.002</v>
      </c>
      <c r="P74" t="str">
        <f t="shared" si="2"/>
        <v>Average</v>
      </c>
    </row>
    <row r="75" spans="1:16" hidden="1" x14ac:dyDescent="0.3">
      <c r="A75">
        <v>1074</v>
      </c>
      <c r="B75" t="s">
        <v>12</v>
      </c>
      <c r="C75">
        <v>22</v>
      </c>
      <c r="D75" t="s">
        <v>13</v>
      </c>
      <c r="E75" s="7">
        <v>18</v>
      </c>
      <c r="F75" s="6">
        <v>86.9</v>
      </c>
      <c r="G75">
        <v>6</v>
      </c>
      <c r="H75" s="4">
        <v>0.68</v>
      </c>
      <c r="I75" t="s">
        <v>14</v>
      </c>
      <c r="J75">
        <v>4</v>
      </c>
      <c r="K75">
        <v>7.7</v>
      </c>
      <c r="L75" t="s">
        <v>18</v>
      </c>
      <c r="M75" t="str">
        <f>IF(Table1[[#This Row],[Study_Hours_per_Week]]&lt;=5, "0-5",
 IF(Table1[[#This Row],[Study_Hours_per_Week]]&lt;=10, "6-10",
 IF(Table1[[#This Row],[Study_Hours_per_Week]]&lt;=15, "11-15",
 IF(Table1[[#This Row],[Study_Hours_per_Week]]&lt;=20, "16-20", "21+"))))</f>
        <v>16-20</v>
      </c>
      <c r="N75" t="str">
        <f>IF(Table1[[#This Row],[GPA]] &gt;= 2, "Pass", "Fail")</f>
        <v>Fail</v>
      </c>
      <c r="O75">
        <v>0.63600000000000001</v>
      </c>
      <c r="P75" t="str">
        <f t="shared" si="2"/>
        <v>Below Average</v>
      </c>
    </row>
    <row r="76" spans="1:16" hidden="1" x14ac:dyDescent="0.3">
      <c r="A76">
        <v>1075</v>
      </c>
      <c r="B76" t="s">
        <v>16</v>
      </c>
      <c r="C76">
        <v>20</v>
      </c>
      <c r="D76" t="s">
        <v>13</v>
      </c>
      <c r="E76" s="7">
        <v>18</v>
      </c>
      <c r="F76" s="6">
        <v>86.9</v>
      </c>
      <c r="G76">
        <v>10</v>
      </c>
      <c r="H76" s="4">
        <v>1.33</v>
      </c>
      <c r="I76" t="s">
        <v>17</v>
      </c>
      <c r="J76">
        <v>3</v>
      </c>
      <c r="K76">
        <v>5.8</v>
      </c>
      <c r="L76" t="s">
        <v>18</v>
      </c>
      <c r="M76" t="str">
        <f>IF(Table1[[#This Row],[Study_Hours_per_Week]]&lt;=5, "0-5",
 IF(Table1[[#This Row],[Study_Hours_per_Week]]&lt;=10, "6-10",
 IF(Table1[[#This Row],[Study_Hours_per_Week]]&lt;=15, "11-15",
 IF(Table1[[#This Row],[Study_Hours_per_Week]]&lt;=20, "16-20", "21+"))))</f>
        <v>16-20</v>
      </c>
      <c r="N76" t="str">
        <f>IF(Table1[[#This Row],[GPA]] &gt;= 2, "Pass", "Fail")</f>
        <v>Fail</v>
      </c>
      <c r="O76">
        <v>1.1160000000000001</v>
      </c>
      <c r="P76" t="str">
        <f t="shared" si="2"/>
        <v>Average</v>
      </c>
    </row>
    <row r="77" spans="1:16" hidden="1" x14ac:dyDescent="0.3">
      <c r="A77">
        <v>1076</v>
      </c>
      <c r="B77" t="s">
        <v>16</v>
      </c>
      <c r="C77">
        <v>20</v>
      </c>
      <c r="D77" t="s">
        <v>13</v>
      </c>
      <c r="E77" s="7">
        <v>18</v>
      </c>
      <c r="F77" s="6">
        <v>86.9</v>
      </c>
      <c r="G77">
        <v>6</v>
      </c>
      <c r="H77" s="4">
        <v>1.39</v>
      </c>
      <c r="I77" t="s">
        <v>19</v>
      </c>
      <c r="J77">
        <v>6</v>
      </c>
      <c r="K77">
        <v>8.6999999999999993</v>
      </c>
      <c r="L77" t="s">
        <v>18</v>
      </c>
      <c r="M77" t="str">
        <f>IF(Table1[[#This Row],[Study_Hours_per_Week]]&lt;=5, "0-5",
 IF(Table1[[#This Row],[Study_Hours_per_Week]]&lt;=10, "6-10",
 IF(Table1[[#This Row],[Study_Hours_per_Week]]&lt;=15, "11-15",
 IF(Table1[[#This Row],[Study_Hours_per_Week]]&lt;=20, "16-20", "21+"))))</f>
        <v>16-20</v>
      </c>
      <c r="N77" t="str">
        <f>IF(Table1[[#This Row],[GPA]] &gt;= 2, "Pass", "Fail")</f>
        <v>Fail</v>
      </c>
      <c r="O77">
        <v>1.107</v>
      </c>
      <c r="P77" t="str">
        <f t="shared" si="2"/>
        <v>Average</v>
      </c>
    </row>
    <row r="78" spans="1:16" hidden="1" x14ac:dyDescent="0.3">
      <c r="A78">
        <v>1077</v>
      </c>
      <c r="B78" t="s">
        <v>16</v>
      </c>
      <c r="C78">
        <v>18</v>
      </c>
      <c r="D78" t="s">
        <v>13</v>
      </c>
      <c r="E78" s="7">
        <v>18</v>
      </c>
      <c r="F78" s="6">
        <v>86.9</v>
      </c>
      <c r="G78">
        <v>10</v>
      </c>
      <c r="H78" s="4">
        <v>1.05</v>
      </c>
      <c r="I78" t="s">
        <v>14</v>
      </c>
      <c r="J78">
        <v>5</v>
      </c>
      <c r="K78">
        <v>4.7</v>
      </c>
      <c r="L78" t="s">
        <v>15</v>
      </c>
      <c r="M78" t="str">
        <f>IF(Table1[[#This Row],[Study_Hours_per_Week]]&lt;=5, "0-5",
 IF(Table1[[#This Row],[Study_Hours_per_Week]]&lt;=10, "6-10",
 IF(Table1[[#This Row],[Study_Hours_per_Week]]&lt;=15, "11-15",
 IF(Table1[[#This Row],[Study_Hours_per_Week]]&lt;=20, "16-20", "21+"))))</f>
        <v>16-20</v>
      </c>
      <c r="N78" t="str">
        <f>IF(Table1[[#This Row],[GPA]] &gt;= 2, "Pass", "Fail")</f>
        <v>Fail</v>
      </c>
      <c r="O78">
        <v>0.875</v>
      </c>
      <c r="P78" t="str">
        <f t="shared" si="2"/>
        <v>Average</v>
      </c>
    </row>
    <row r="79" spans="1:16" hidden="1" x14ac:dyDescent="0.3">
      <c r="A79">
        <v>1078</v>
      </c>
      <c r="B79" t="s">
        <v>16</v>
      </c>
      <c r="C79">
        <v>18</v>
      </c>
      <c r="D79" t="s">
        <v>13</v>
      </c>
      <c r="E79" s="7">
        <v>18</v>
      </c>
      <c r="F79" s="6">
        <v>86.9</v>
      </c>
      <c r="G79">
        <v>7</v>
      </c>
      <c r="H79" s="4">
        <v>1.3</v>
      </c>
      <c r="I79" t="s">
        <v>14</v>
      </c>
      <c r="J79">
        <v>4</v>
      </c>
      <c r="K79">
        <v>4.5</v>
      </c>
      <c r="L79" t="s">
        <v>15</v>
      </c>
      <c r="M79" t="str">
        <f>IF(Table1[[#This Row],[Study_Hours_per_Week]]&lt;=5, "0-5",
 IF(Table1[[#This Row],[Study_Hours_per_Week]]&lt;=10, "6-10",
 IF(Table1[[#This Row],[Study_Hours_per_Week]]&lt;=15, "11-15",
 IF(Table1[[#This Row],[Study_Hours_per_Week]]&lt;=20, "16-20", "21+"))))</f>
        <v>16-20</v>
      </c>
      <c r="N79" t="str">
        <f>IF(Table1[[#This Row],[GPA]] &gt;= 2, "Pass", "Fail")</f>
        <v>Fail</v>
      </c>
      <c r="O79">
        <v>1.0529999999999999</v>
      </c>
      <c r="P79" t="str">
        <f t="shared" si="2"/>
        <v>Average</v>
      </c>
    </row>
    <row r="80" spans="1:16" hidden="1" x14ac:dyDescent="0.3">
      <c r="A80">
        <v>1079</v>
      </c>
      <c r="B80" t="s">
        <v>12</v>
      </c>
      <c r="C80">
        <v>23</v>
      </c>
      <c r="D80" t="s">
        <v>13</v>
      </c>
      <c r="E80" s="7">
        <v>18</v>
      </c>
      <c r="F80" s="6">
        <v>86.9</v>
      </c>
      <c r="G80">
        <v>9</v>
      </c>
      <c r="H80" s="4">
        <v>1.68</v>
      </c>
      <c r="I80" t="s">
        <v>19</v>
      </c>
      <c r="J80">
        <v>7</v>
      </c>
      <c r="K80">
        <v>6.3</v>
      </c>
      <c r="L80" t="s">
        <v>18</v>
      </c>
      <c r="M80" t="str">
        <f>IF(Table1[[#This Row],[Study_Hours_per_Week]]&lt;=5, "0-5",
 IF(Table1[[#This Row],[Study_Hours_per_Week]]&lt;=10, "6-10",
 IF(Table1[[#This Row],[Study_Hours_per_Week]]&lt;=15, "11-15",
 IF(Table1[[#This Row],[Study_Hours_per_Week]]&lt;=20, "16-20", "21+"))))</f>
        <v>16-20</v>
      </c>
      <c r="N80" t="str">
        <f>IF(Table1[[#This Row],[GPA]] &gt;= 2, "Pass", "Fail")</f>
        <v>Fail</v>
      </c>
      <c r="O80">
        <v>1.296</v>
      </c>
      <c r="P80" t="str">
        <f t="shared" si="2"/>
        <v>Good</v>
      </c>
    </row>
    <row r="81" spans="1:16" hidden="1" x14ac:dyDescent="0.3">
      <c r="A81">
        <v>1080</v>
      </c>
      <c r="B81" t="s">
        <v>16</v>
      </c>
      <c r="C81">
        <v>20</v>
      </c>
      <c r="D81" t="s">
        <v>13</v>
      </c>
      <c r="E81" s="7">
        <v>18</v>
      </c>
      <c r="F81" s="6">
        <v>86.9</v>
      </c>
      <c r="G81">
        <v>8</v>
      </c>
      <c r="H81" s="4">
        <v>1.22</v>
      </c>
      <c r="I81" t="s">
        <v>14</v>
      </c>
      <c r="J81">
        <v>2</v>
      </c>
      <c r="K81">
        <v>7.9</v>
      </c>
      <c r="L81" t="s">
        <v>18</v>
      </c>
      <c r="M81" t="str">
        <f>IF(Table1[[#This Row],[Study_Hours_per_Week]]&lt;=5, "0-5",
 IF(Table1[[#This Row],[Study_Hours_per_Week]]&lt;=10, "6-10",
 IF(Table1[[#This Row],[Study_Hours_per_Week]]&lt;=15, "11-15",
 IF(Table1[[#This Row],[Study_Hours_per_Week]]&lt;=20, "16-20", "21+"))))</f>
        <v>16-20</v>
      </c>
      <c r="N81" t="str">
        <f>IF(Table1[[#This Row],[GPA]] &gt;= 2, "Pass", "Fail")</f>
        <v>Fail</v>
      </c>
      <c r="O81">
        <v>0.94599999999999995</v>
      </c>
      <c r="P81" t="str">
        <f t="shared" si="2"/>
        <v>Average</v>
      </c>
    </row>
    <row r="82" spans="1:16" hidden="1" x14ac:dyDescent="0.3">
      <c r="A82">
        <v>1081</v>
      </c>
      <c r="B82" t="s">
        <v>16</v>
      </c>
      <c r="C82">
        <v>22</v>
      </c>
      <c r="D82" t="s">
        <v>13</v>
      </c>
      <c r="E82" s="7">
        <v>18</v>
      </c>
      <c r="F82" s="6">
        <v>86.9</v>
      </c>
      <c r="G82">
        <v>9</v>
      </c>
      <c r="H82" s="4">
        <v>1.33</v>
      </c>
      <c r="I82" t="s">
        <v>17</v>
      </c>
      <c r="J82">
        <v>6</v>
      </c>
      <c r="K82">
        <v>6.4</v>
      </c>
      <c r="L82" t="s">
        <v>18</v>
      </c>
      <c r="M82" t="str">
        <f>IF(Table1[[#This Row],[Study_Hours_per_Week]]&lt;=5, "0-5",
 IF(Table1[[#This Row],[Study_Hours_per_Week]]&lt;=10, "6-10",
 IF(Table1[[#This Row],[Study_Hours_per_Week]]&lt;=15, "11-15",
 IF(Table1[[#This Row],[Study_Hours_per_Week]]&lt;=20, "16-20", "21+"))))</f>
        <v>16-20</v>
      </c>
      <c r="N82" t="str">
        <f>IF(Table1[[#This Row],[GPA]] &gt;= 2, "Pass", "Fail")</f>
        <v>Fail</v>
      </c>
      <c r="O82">
        <v>1.0669999999999999</v>
      </c>
      <c r="P82" t="str">
        <f t="shared" si="2"/>
        <v>Average</v>
      </c>
    </row>
    <row r="83" spans="1:16" hidden="1" x14ac:dyDescent="0.3">
      <c r="A83">
        <v>1082</v>
      </c>
      <c r="B83" t="s">
        <v>16</v>
      </c>
      <c r="C83">
        <v>19</v>
      </c>
      <c r="D83" t="s">
        <v>13</v>
      </c>
      <c r="E83" s="7">
        <v>18</v>
      </c>
      <c r="F83" s="6">
        <v>86.9</v>
      </c>
      <c r="G83">
        <v>6</v>
      </c>
      <c r="H83" s="4">
        <v>1.85</v>
      </c>
      <c r="I83" t="s">
        <v>14</v>
      </c>
      <c r="J83">
        <v>4</v>
      </c>
      <c r="K83">
        <v>6.5</v>
      </c>
      <c r="L83" t="s">
        <v>18</v>
      </c>
      <c r="M83" t="str">
        <f>IF(Table1[[#This Row],[Study_Hours_per_Week]]&lt;=5, "0-5",
 IF(Table1[[#This Row],[Study_Hours_per_Week]]&lt;=10, "6-10",
 IF(Table1[[#This Row],[Study_Hours_per_Week]]&lt;=15, "11-15",
 IF(Table1[[#This Row],[Study_Hours_per_Week]]&lt;=20, "16-20", "21+"))))</f>
        <v>16-20</v>
      </c>
      <c r="N83" t="str">
        <f>IF(Table1[[#This Row],[GPA]] &gt;= 2, "Pass", "Fail")</f>
        <v>Fail</v>
      </c>
      <c r="O83">
        <v>1.395</v>
      </c>
      <c r="P83" t="str">
        <f t="shared" si="2"/>
        <v>Excellent</v>
      </c>
    </row>
    <row r="84" spans="1:16" hidden="1" x14ac:dyDescent="0.3">
      <c r="A84">
        <v>1083</v>
      </c>
      <c r="B84" t="s">
        <v>16</v>
      </c>
      <c r="C84">
        <v>20</v>
      </c>
      <c r="D84" t="s">
        <v>13</v>
      </c>
      <c r="E84" s="7">
        <v>18</v>
      </c>
      <c r="F84" s="6">
        <v>86.9</v>
      </c>
      <c r="G84">
        <v>8</v>
      </c>
      <c r="H84" s="4">
        <v>1.1000000000000001</v>
      </c>
      <c r="I84" t="s">
        <v>14</v>
      </c>
      <c r="J84">
        <v>2</v>
      </c>
      <c r="K84">
        <v>8</v>
      </c>
      <c r="L84" t="s">
        <v>18</v>
      </c>
      <c r="M84" t="str">
        <f>IF(Table1[[#This Row],[Study_Hours_per_Week]]&lt;=5, "0-5",
 IF(Table1[[#This Row],[Study_Hours_per_Week]]&lt;=10, "6-10",
 IF(Table1[[#This Row],[Study_Hours_per_Week]]&lt;=15, "11-15",
 IF(Table1[[#This Row],[Study_Hours_per_Week]]&lt;=20, "16-20", "21+"))))</f>
        <v>16-20</v>
      </c>
      <c r="N84" t="str">
        <f>IF(Table1[[#This Row],[GPA]] &gt;= 2, "Pass", "Fail")</f>
        <v>Fail</v>
      </c>
      <c r="O84">
        <v>0.89500000000000002</v>
      </c>
      <c r="P84" t="str">
        <f t="shared" si="2"/>
        <v>Average</v>
      </c>
    </row>
    <row r="85" spans="1:16" hidden="1" x14ac:dyDescent="0.3">
      <c r="A85">
        <v>1084</v>
      </c>
      <c r="B85" t="s">
        <v>16</v>
      </c>
      <c r="C85">
        <v>20</v>
      </c>
      <c r="D85" t="s">
        <v>13</v>
      </c>
      <c r="E85" s="7">
        <v>18</v>
      </c>
      <c r="F85" s="6">
        <v>86.9</v>
      </c>
      <c r="G85">
        <v>4</v>
      </c>
      <c r="H85" s="4">
        <v>1.27</v>
      </c>
      <c r="I85" t="s">
        <v>14</v>
      </c>
      <c r="J85">
        <v>4</v>
      </c>
      <c r="K85">
        <v>5.8</v>
      </c>
      <c r="L85" t="s">
        <v>18</v>
      </c>
      <c r="M85" t="str">
        <f>IF(Table1[[#This Row],[Study_Hours_per_Week]]&lt;=5, "0-5",
 IF(Table1[[#This Row],[Study_Hours_per_Week]]&lt;=10, "6-10",
 IF(Table1[[#This Row],[Study_Hours_per_Week]]&lt;=15, "11-15",
 IF(Table1[[#This Row],[Study_Hours_per_Week]]&lt;=20, "16-20", "21+"))))</f>
        <v>16-20</v>
      </c>
      <c r="N85" t="str">
        <f>IF(Table1[[#This Row],[GPA]] &gt;= 2, "Pass", "Fail")</f>
        <v>Fail</v>
      </c>
      <c r="O85">
        <v>1.034</v>
      </c>
      <c r="P85" t="str">
        <f t="shared" si="2"/>
        <v>Average</v>
      </c>
    </row>
    <row r="86" spans="1:16" hidden="1" x14ac:dyDescent="0.3">
      <c r="A86">
        <v>1085</v>
      </c>
      <c r="B86" t="s">
        <v>16</v>
      </c>
      <c r="C86">
        <v>24</v>
      </c>
      <c r="D86" t="s">
        <v>13</v>
      </c>
      <c r="E86" s="7">
        <v>18</v>
      </c>
      <c r="F86" s="6">
        <v>86.9</v>
      </c>
      <c r="G86">
        <v>7</v>
      </c>
      <c r="H86" s="4">
        <v>1.66</v>
      </c>
      <c r="I86" t="s">
        <v>19</v>
      </c>
      <c r="J86">
        <v>5</v>
      </c>
      <c r="K86">
        <v>6.9</v>
      </c>
      <c r="L86" t="s">
        <v>15</v>
      </c>
      <c r="M86" t="str">
        <f>IF(Table1[[#This Row],[Study_Hours_per_Week]]&lt;=5, "0-5",
 IF(Table1[[#This Row],[Study_Hours_per_Week]]&lt;=10, "6-10",
 IF(Table1[[#This Row],[Study_Hours_per_Week]]&lt;=15, "11-15",
 IF(Table1[[#This Row],[Study_Hours_per_Week]]&lt;=20, "16-20", "21+"))))</f>
        <v>16-20</v>
      </c>
      <c r="N86" t="str">
        <f>IF(Table1[[#This Row],[GPA]] &gt;= 2, "Pass", "Fail")</f>
        <v>Fail</v>
      </c>
      <c r="O86">
        <v>1.2350000000000001</v>
      </c>
      <c r="P86" t="str">
        <f t="shared" si="2"/>
        <v>Good</v>
      </c>
    </row>
    <row r="87" spans="1:16" hidden="1" x14ac:dyDescent="0.3">
      <c r="A87">
        <v>1086</v>
      </c>
      <c r="B87" t="s">
        <v>12</v>
      </c>
      <c r="C87">
        <v>23</v>
      </c>
      <c r="D87" t="s">
        <v>13</v>
      </c>
      <c r="E87" s="7">
        <v>18</v>
      </c>
      <c r="F87" s="6">
        <v>86.9</v>
      </c>
      <c r="G87">
        <v>9</v>
      </c>
      <c r="H87" s="4">
        <v>1.54</v>
      </c>
      <c r="I87" t="s">
        <v>14</v>
      </c>
      <c r="J87">
        <v>2</v>
      </c>
      <c r="K87">
        <v>6</v>
      </c>
      <c r="L87" t="s">
        <v>18</v>
      </c>
      <c r="M87" t="str">
        <f>IF(Table1[[#This Row],[Study_Hours_per_Week]]&lt;=5, "0-5",
 IF(Table1[[#This Row],[Study_Hours_per_Week]]&lt;=10, "6-10",
 IF(Table1[[#This Row],[Study_Hours_per_Week]]&lt;=15, "11-15",
 IF(Table1[[#This Row],[Study_Hours_per_Week]]&lt;=20, "16-20", "21+"))))</f>
        <v>16-20</v>
      </c>
      <c r="N87" t="str">
        <f>IF(Table1[[#This Row],[GPA]] &gt;= 2, "Pass", "Fail")</f>
        <v>Fail</v>
      </c>
      <c r="O87">
        <v>1.1859999999999999</v>
      </c>
      <c r="P87" t="str">
        <f t="shared" si="2"/>
        <v>Good</v>
      </c>
    </row>
    <row r="88" spans="1:16" hidden="1" x14ac:dyDescent="0.3">
      <c r="A88">
        <v>1087</v>
      </c>
      <c r="B88" t="s">
        <v>12</v>
      </c>
      <c r="C88">
        <v>20</v>
      </c>
      <c r="D88" t="s">
        <v>13</v>
      </c>
      <c r="E88" s="7">
        <v>18</v>
      </c>
      <c r="F88" s="6">
        <v>86.9</v>
      </c>
      <c r="G88">
        <v>9</v>
      </c>
      <c r="H88" s="4">
        <v>1.68</v>
      </c>
      <c r="I88" t="s">
        <v>14</v>
      </c>
      <c r="J88">
        <v>4</v>
      </c>
      <c r="K88">
        <v>7.4</v>
      </c>
      <c r="L88" t="s">
        <v>15</v>
      </c>
      <c r="M88" t="str">
        <f>IF(Table1[[#This Row],[Study_Hours_per_Week]]&lt;=5, "0-5",
 IF(Table1[[#This Row],[Study_Hours_per_Week]]&lt;=10, "6-10",
 IF(Table1[[#This Row],[Study_Hours_per_Week]]&lt;=15, "11-15",
 IF(Table1[[#This Row],[Study_Hours_per_Week]]&lt;=20, "16-20", "21+"))))</f>
        <v>16-20</v>
      </c>
      <c r="N88" t="str">
        <f>IF(Table1[[#This Row],[GPA]] &gt;= 2, "Pass", "Fail")</f>
        <v>Fail</v>
      </c>
      <c r="O88">
        <v>1.2969999999999999</v>
      </c>
      <c r="P88" t="str">
        <f t="shared" si="2"/>
        <v>Good</v>
      </c>
    </row>
    <row r="89" spans="1:16" hidden="1" x14ac:dyDescent="0.3">
      <c r="A89">
        <v>1088</v>
      </c>
      <c r="B89" t="s">
        <v>12</v>
      </c>
      <c r="C89">
        <v>21</v>
      </c>
      <c r="D89" t="s">
        <v>13</v>
      </c>
      <c r="E89" s="7">
        <v>18</v>
      </c>
      <c r="F89" s="6">
        <v>86.9</v>
      </c>
      <c r="G89">
        <v>10</v>
      </c>
      <c r="H89" s="4">
        <v>0.86</v>
      </c>
      <c r="I89" t="s">
        <v>14</v>
      </c>
      <c r="J89">
        <v>6</v>
      </c>
      <c r="K89">
        <v>6.7</v>
      </c>
      <c r="L89" t="s">
        <v>15</v>
      </c>
      <c r="M89" t="str">
        <f>IF(Table1[[#This Row],[Study_Hours_per_Week]]&lt;=5, "0-5",
 IF(Table1[[#This Row],[Study_Hours_per_Week]]&lt;=10, "6-10",
 IF(Table1[[#This Row],[Study_Hours_per_Week]]&lt;=15, "11-15",
 IF(Table1[[#This Row],[Study_Hours_per_Week]]&lt;=20, "16-20", "21+"))))</f>
        <v>16-20</v>
      </c>
      <c r="N89" t="str">
        <f>IF(Table1[[#This Row],[GPA]] &gt;= 2, "Pass", "Fail")</f>
        <v>Fail</v>
      </c>
      <c r="O89">
        <v>0.76200000000000001</v>
      </c>
      <c r="P89" t="str">
        <f t="shared" si="2"/>
        <v>Below Average</v>
      </c>
    </row>
    <row r="90" spans="1:16" hidden="1" x14ac:dyDescent="0.3">
      <c r="A90">
        <v>1089</v>
      </c>
      <c r="B90" t="s">
        <v>16</v>
      </c>
      <c r="C90">
        <v>22</v>
      </c>
      <c r="D90" t="s">
        <v>13</v>
      </c>
      <c r="E90" s="7">
        <v>18</v>
      </c>
      <c r="F90" s="6">
        <v>86.9</v>
      </c>
      <c r="G90">
        <v>8</v>
      </c>
      <c r="H90" s="4">
        <v>1.1299999999999999</v>
      </c>
      <c r="I90" t="s">
        <v>17</v>
      </c>
      <c r="J90">
        <v>7</v>
      </c>
      <c r="K90">
        <v>7</v>
      </c>
      <c r="L90" t="s">
        <v>18</v>
      </c>
      <c r="M90" t="str">
        <f>IF(Table1[[#This Row],[Study_Hours_per_Week]]&lt;=5, "0-5",
 IF(Table1[[#This Row],[Study_Hours_per_Week]]&lt;=10, "6-10",
 IF(Table1[[#This Row],[Study_Hours_per_Week]]&lt;=15, "11-15",
 IF(Table1[[#This Row],[Study_Hours_per_Week]]&lt;=20, "16-20", "21+"))))</f>
        <v>16-20</v>
      </c>
      <c r="N90" t="str">
        <f>IF(Table1[[#This Row],[GPA]] &gt;= 2, "Pass", "Fail")</f>
        <v>Fail</v>
      </c>
      <c r="O90">
        <v>0.92400000000000004</v>
      </c>
      <c r="P90" t="str">
        <f t="shared" si="2"/>
        <v>Average</v>
      </c>
    </row>
    <row r="91" spans="1:16" hidden="1" x14ac:dyDescent="0.3">
      <c r="A91">
        <v>1090</v>
      </c>
      <c r="B91" t="s">
        <v>12</v>
      </c>
      <c r="C91">
        <v>23</v>
      </c>
      <c r="D91" t="s">
        <v>13</v>
      </c>
      <c r="E91" s="7">
        <v>18</v>
      </c>
      <c r="F91" s="6">
        <v>86.9</v>
      </c>
      <c r="G91">
        <v>9</v>
      </c>
      <c r="H91" s="4">
        <v>0.35</v>
      </c>
      <c r="I91" t="s">
        <v>14</v>
      </c>
      <c r="J91">
        <v>4</v>
      </c>
      <c r="K91">
        <v>7</v>
      </c>
      <c r="L91" t="s">
        <v>15</v>
      </c>
      <c r="M91" t="str">
        <f>IF(Table1[[#This Row],[Study_Hours_per_Week]]&lt;=5, "0-5",
 IF(Table1[[#This Row],[Study_Hours_per_Week]]&lt;=10, "6-10",
 IF(Table1[[#This Row],[Study_Hours_per_Week]]&lt;=15, "11-15",
 IF(Table1[[#This Row],[Study_Hours_per_Week]]&lt;=20, "16-20", "21+"))))</f>
        <v>16-20</v>
      </c>
      <c r="N91" t="str">
        <f>IF(Table1[[#This Row],[GPA]] &gt;= 2, "Pass", "Fail")</f>
        <v>Fail</v>
      </c>
      <c r="O91">
        <v>0.46300000000000002</v>
      </c>
      <c r="P91" t="str">
        <f t="shared" si="2"/>
        <v>Below Average</v>
      </c>
    </row>
    <row r="92" spans="1:16" hidden="1" x14ac:dyDescent="0.3">
      <c r="A92">
        <v>1091</v>
      </c>
      <c r="B92" t="s">
        <v>12</v>
      </c>
      <c r="C92">
        <v>24</v>
      </c>
      <c r="D92" t="s">
        <v>13</v>
      </c>
      <c r="E92" s="7">
        <v>18</v>
      </c>
      <c r="F92" s="6">
        <v>86.9</v>
      </c>
      <c r="G92">
        <v>8</v>
      </c>
      <c r="H92" s="4">
        <v>1.33</v>
      </c>
      <c r="I92" t="s">
        <v>19</v>
      </c>
      <c r="J92">
        <v>7</v>
      </c>
      <c r="K92">
        <v>7.7</v>
      </c>
      <c r="L92" t="s">
        <v>18</v>
      </c>
      <c r="M92" t="str">
        <f>IF(Table1[[#This Row],[Study_Hours_per_Week]]&lt;=5, "0-5",
 IF(Table1[[#This Row],[Study_Hours_per_Week]]&lt;=10, "6-10",
 IF(Table1[[#This Row],[Study_Hours_per_Week]]&lt;=15, "11-15",
 IF(Table1[[#This Row],[Study_Hours_per_Week]]&lt;=20, "16-20", "21+"))))</f>
        <v>16-20</v>
      </c>
      <c r="N92" t="str">
        <f>IF(Table1[[#This Row],[GPA]] &gt;= 2, "Pass", "Fail")</f>
        <v>Fail</v>
      </c>
      <c r="O92">
        <v>1.028</v>
      </c>
      <c r="P92" t="str">
        <f t="shared" si="2"/>
        <v>Average</v>
      </c>
    </row>
    <row r="93" spans="1:16" x14ac:dyDescent="0.3">
      <c r="A93">
        <v>1092</v>
      </c>
      <c r="B93" t="s">
        <v>12</v>
      </c>
      <c r="C93">
        <v>24</v>
      </c>
      <c r="D93" t="s">
        <v>13</v>
      </c>
      <c r="E93" s="7">
        <v>18</v>
      </c>
      <c r="F93" s="6">
        <v>86.9</v>
      </c>
      <c r="G93">
        <v>4</v>
      </c>
      <c r="H93" s="4">
        <v>1.58</v>
      </c>
      <c r="I93" t="s">
        <v>17</v>
      </c>
      <c r="J93">
        <v>6</v>
      </c>
      <c r="K93">
        <v>6.6</v>
      </c>
      <c r="L93" t="s">
        <v>15</v>
      </c>
      <c r="M93" t="str">
        <f>IF(Table1[[#This Row],[Study_Hours_per_Week]]&lt;=5, "0-5",
 IF(Table1[[#This Row],[Study_Hours_per_Week]]&lt;=10, "6-10",
 IF(Table1[[#This Row],[Study_Hours_per_Week]]&lt;=15, "11-15",
 IF(Table1[[#This Row],[Study_Hours_per_Week]]&lt;=20, "16-20", "21+"))))</f>
        <v>16-20</v>
      </c>
      <c r="N93" t="str">
        <f>IF(Table1[[#This Row],[GPA]] &gt;= 2, "Pass", "Fail")</f>
        <v>Fail</v>
      </c>
      <c r="O93">
        <v>1.2</v>
      </c>
      <c r="P93" t="str">
        <f t="shared" si="2"/>
        <v>Good</v>
      </c>
    </row>
    <row r="94" spans="1:16" hidden="1" x14ac:dyDescent="0.3">
      <c r="A94">
        <v>1093</v>
      </c>
      <c r="B94" t="s">
        <v>16</v>
      </c>
      <c r="C94">
        <v>22</v>
      </c>
      <c r="D94" t="s">
        <v>13</v>
      </c>
      <c r="E94" s="7">
        <v>18</v>
      </c>
      <c r="F94" s="6">
        <v>86.9</v>
      </c>
      <c r="G94">
        <v>6</v>
      </c>
      <c r="H94" s="4">
        <v>1.3</v>
      </c>
      <c r="I94" t="s">
        <v>14</v>
      </c>
      <c r="J94">
        <v>5</v>
      </c>
      <c r="K94">
        <v>6.4</v>
      </c>
      <c r="L94" t="s">
        <v>18</v>
      </c>
      <c r="M94" t="str">
        <f>IF(Table1[[#This Row],[Study_Hours_per_Week]]&lt;=5, "0-5",
 IF(Table1[[#This Row],[Study_Hours_per_Week]]&lt;=10, "6-10",
 IF(Table1[[#This Row],[Study_Hours_per_Week]]&lt;=15, "11-15",
 IF(Table1[[#This Row],[Study_Hours_per_Week]]&lt;=20, "16-20", "21+"))))</f>
        <v>16-20</v>
      </c>
      <c r="N94" t="str">
        <f>IF(Table1[[#This Row],[GPA]] &gt;= 2, "Pass", "Fail")</f>
        <v>Fail</v>
      </c>
      <c r="O94">
        <v>1.05</v>
      </c>
      <c r="P94" t="str">
        <f t="shared" si="2"/>
        <v>Average</v>
      </c>
    </row>
    <row r="95" spans="1:16" hidden="1" x14ac:dyDescent="0.3">
      <c r="A95">
        <v>1094</v>
      </c>
      <c r="B95" t="s">
        <v>16</v>
      </c>
      <c r="C95">
        <v>21</v>
      </c>
      <c r="D95" t="s">
        <v>13</v>
      </c>
      <c r="E95" s="7">
        <v>18</v>
      </c>
      <c r="F95" s="6">
        <v>86.9</v>
      </c>
      <c r="G95">
        <v>5</v>
      </c>
      <c r="H95" s="4">
        <v>2.0299999999999998</v>
      </c>
      <c r="I95" t="s">
        <v>19</v>
      </c>
      <c r="J95">
        <v>5</v>
      </c>
      <c r="K95">
        <v>5.8</v>
      </c>
      <c r="L95" t="s">
        <v>18</v>
      </c>
      <c r="M95" t="str">
        <f>IF(Table1[[#This Row],[Study_Hours_per_Week]]&lt;=5, "0-5",
 IF(Table1[[#This Row],[Study_Hours_per_Week]]&lt;=10, "6-10",
 IF(Table1[[#This Row],[Study_Hours_per_Week]]&lt;=15, "11-15",
 IF(Table1[[#This Row],[Study_Hours_per_Week]]&lt;=20, "16-20", "21+"))))</f>
        <v>16-20</v>
      </c>
      <c r="N95" t="str">
        <f>IF(Table1[[#This Row],[GPA]] &gt;= 2, "Pass", "Fail")</f>
        <v>Pass</v>
      </c>
      <c r="O95">
        <v>1.47</v>
      </c>
      <c r="P95" t="str">
        <f t="shared" si="2"/>
        <v>Excellent</v>
      </c>
    </row>
    <row r="96" spans="1:16" hidden="1" x14ac:dyDescent="0.3">
      <c r="A96">
        <v>1095</v>
      </c>
      <c r="B96" t="s">
        <v>16</v>
      </c>
      <c r="C96">
        <v>21</v>
      </c>
      <c r="D96" t="s">
        <v>13</v>
      </c>
      <c r="E96" s="7">
        <v>18</v>
      </c>
      <c r="F96" s="6">
        <v>86.9</v>
      </c>
      <c r="G96">
        <v>9</v>
      </c>
      <c r="H96" s="4">
        <v>1.35</v>
      </c>
      <c r="I96" t="s">
        <v>14</v>
      </c>
      <c r="J96">
        <v>5</v>
      </c>
      <c r="K96">
        <v>5.4</v>
      </c>
      <c r="L96" t="s">
        <v>15</v>
      </c>
      <c r="M96" t="str">
        <f>IF(Table1[[#This Row],[Study_Hours_per_Week]]&lt;=5, "0-5",
 IF(Table1[[#This Row],[Study_Hours_per_Week]]&lt;=10, "6-10",
 IF(Table1[[#This Row],[Study_Hours_per_Week]]&lt;=15, "11-15",
 IF(Table1[[#This Row],[Study_Hours_per_Week]]&lt;=20, "16-20", "21+"))))</f>
        <v>16-20</v>
      </c>
      <c r="N96" t="str">
        <f>IF(Table1[[#This Row],[GPA]] &gt;= 2, "Pass", "Fail")</f>
        <v>Fail</v>
      </c>
      <c r="O96">
        <v>1.0880000000000001</v>
      </c>
      <c r="P96" t="str">
        <f t="shared" si="2"/>
        <v>Average</v>
      </c>
    </row>
    <row r="97" spans="1:16" hidden="1" x14ac:dyDescent="0.3">
      <c r="A97">
        <v>1096</v>
      </c>
      <c r="B97" t="s">
        <v>12</v>
      </c>
      <c r="C97">
        <v>24</v>
      </c>
      <c r="D97" t="s">
        <v>13</v>
      </c>
      <c r="E97" s="7">
        <v>18</v>
      </c>
      <c r="F97" s="6">
        <v>86.9</v>
      </c>
      <c r="G97">
        <v>10</v>
      </c>
      <c r="H97" s="4">
        <v>1.66</v>
      </c>
      <c r="I97" t="s">
        <v>14</v>
      </c>
      <c r="J97">
        <v>4</v>
      </c>
      <c r="K97">
        <v>7.5</v>
      </c>
      <c r="L97" t="s">
        <v>15</v>
      </c>
      <c r="M97" t="str">
        <f>IF(Table1[[#This Row],[Study_Hours_per_Week]]&lt;=5, "0-5",
 IF(Table1[[#This Row],[Study_Hours_per_Week]]&lt;=10, "6-10",
 IF(Table1[[#This Row],[Study_Hours_per_Week]]&lt;=15, "11-15",
 IF(Table1[[#This Row],[Study_Hours_per_Week]]&lt;=20, "16-20", "21+"))))</f>
        <v>16-20</v>
      </c>
      <c r="N97" t="str">
        <f>IF(Table1[[#This Row],[GPA]] &gt;= 2, "Pass", "Fail")</f>
        <v>Fail</v>
      </c>
      <c r="O97">
        <v>1.25</v>
      </c>
      <c r="P97" t="str">
        <f t="shared" si="2"/>
        <v>Good</v>
      </c>
    </row>
    <row r="98" spans="1:16" hidden="1" x14ac:dyDescent="0.3">
      <c r="A98">
        <v>1097</v>
      </c>
      <c r="B98" t="s">
        <v>12</v>
      </c>
      <c r="C98">
        <v>20</v>
      </c>
      <c r="D98" t="s">
        <v>13</v>
      </c>
      <c r="E98" s="7">
        <v>18</v>
      </c>
      <c r="F98" s="6">
        <v>86.9</v>
      </c>
      <c r="G98">
        <v>7</v>
      </c>
      <c r="H98" s="4">
        <v>0.89</v>
      </c>
      <c r="I98" t="s">
        <v>14</v>
      </c>
      <c r="J98">
        <v>2</v>
      </c>
      <c r="K98">
        <v>8.1</v>
      </c>
      <c r="L98" t="s">
        <v>18</v>
      </c>
      <c r="M98" t="str">
        <f>IF(Table1[[#This Row],[Study_Hours_per_Week]]&lt;=5, "0-5",
 IF(Table1[[#This Row],[Study_Hours_per_Week]]&lt;=10, "6-10",
 IF(Table1[[#This Row],[Study_Hours_per_Week]]&lt;=15, "11-15",
 IF(Table1[[#This Row],[Study_Hours_per_Week]]&lt;=20, "16-20", "21+"))))</f>
        <v>16-20</v>
      </c>
      <c r="N98" t="str">
        <f>IF(Table1[[#This Row],[GPA]] &gt;= 2, "Pass", "Fail")</f>
        <v>Fail</v>
      </c>
      <c r="O98">
        <v>0.8</v>
      </c>
      <c r="P98" t="str">
        <f t="shared" ref="P98:P129" si="3">IF(H98&gt;=1.8,"Excellent",IF(H98&gt;=1.4,"Good",IF(H98&gt;=1,"Average","Below Average")))</f>
        <v>Below Average</v>
      </c>
    </row>
    <row r="99" spans="1:16" hidden="1" x14ac:dyDescent="0.3">
      <c r="A99">
        <v>1098</v>
      </c>
      <c r="B99" t="s">
        <v>12</v>
      </c>
      <c r="C99">
        <v>19</v>
      </c>
      <c r="D99" t="s">
        <v>13</v>
      </c>
      <c r="E99" s="7">
        <v>18</v>
      </c>
      <c r="F99" s="6">
        <v>86.9</v>
      </c>
      <c r="G99">
        <v>7</v>
      </c>
      <c r="H99" s="4">
        <v>0.35</v>
      </c>
      <c r="I99" t="s">
        <v>14</v>
      </c>
      <c r="J99">
        <v>6</v>
      </c>
      <c r="K99">
        <v>6.2</v>
      </c>
      <c r="L99" t="s">
        <v>15</v>
      </c>
      <c r="M99" t="str">
        <f>IF(Table1[[#This Row],[Study_Hours_per_Week]]&lt;=5, "0-5",
 IF(Table1[[#This Row],[Study_Hours_per_Week]]&lt;=10, "6-10",
 IF(Table1[[#This Row],[Study_Hours_per_Week]]&lt;=15, "11-15",
 IF(Table1[[#This Row],[Study_Hours_per_Week]]&lt;=20, "16-20", "21+"))))</f>
        <v>16-20</v>
      </c>
      <c r="N99" t="str">
        <f>IF(Table1[[#This Row],[GPA]] &gt;= 2, "Pass", "Fail")</f>
        <v>Fail</v>
      </c>
      <c r="O99">
        <v>0.42</v>
      </c>
      <c r="P99" t="str">
        <f t="shared" si="3"/>
        <v>Below Average</v>
      </c>
    </row>
    <row r="100" spans="1:16" hidden="1" x14ac:dyDescent="0.3">
      <c r="A100">
        <v>1099</v>
      </c>
      <c r="B100" t="s">
        <v>12</v>
      </c>
      <c r="C100">
        <v>21</v>
      </c>
      <c r="D100" t="s">
        <v>13</v>
      </c>
      <c r="E100" s="7">
        <v>18</v>
      </c>
      <c r="F100" s="6">
        <v>86.9</v>
      </c>
      <c r="G100">
        <v>6</v>
      </c>
      <c r="H100" s="4">
        <v>1.26</v>
      </c>
      <c r="I100" t="s">
        <v>14</v>
      </c>
      <c r="J100">
        <v>6</v>
      </c>
      <c r="K100">
        <v>6.2</v>
      </c>
      <c r="L100" t="s">
        <v>18</v>
      </c>
      <c r="M100" t="str">
        <f>IF(Table1[[#This Row],[Study_Hours_per_Week]]&lt;=5, "0-5",
 IF(Table1[[#This Row],[Study_Hours_per_Week]]&lt;=10, "6-10",
 IF(Table1[[#This Row],[Study_Hours_per_Week]]&lt;=15, "11-15",
 IF(Table1[[#This Row],[Study_Hours_per_Week]]&lt;=20, "16-20", "21+"))))</f>
        <v>16-20</v>
      </c>
      <c r="N100" t="str">
        <f>IF(Table1[[#This Row],[GPA]] &gt;= 2, "Pass", "Fail")</f>
        <v>Fail</v>
      </c>
      <c r="O100">
        <v>0.97099999999999997</v>
      </c>
      <c r="P100" t="str">
        <f t="shared" si="3"/>
        <v>Average</v>
      </c>
    </row>
    <row r="101" spans="1:16" hidden="1" x14ac:dyDescent="0.3">
      <c r="A101">
        <v>1100</v>
      </c>
      <c r="B101" t="s">
        <v>16</v>
      </c>
      <c r="C101">
        <v>21</v>
      </c>
      <c r="D101" t="s">
        <v>13</v>
      </c>
      <c r="E101" s="7">
        <v>18</v>
      </c>
      <c r="F101" s="6">
        <v>86.9</v>
      </c>
      <c r="G101">
        <v>7</v>
      </c>
      <c r="H101" s="4">
        <v>1.37</v>
      </c>
      <c r="I101" t="s">
        <v>19</v>
      </c>
      <c r="J101">
        <v>8</v>
      </c>
      <c r="K101">
        <v>7.3</v>
      </c>
      <c r="L101" t="s">
        <v>15</v>
      </c>
      <c r="M101" t="str">
        <f>IF(Table1[[#This Row],[Study_Hours_per_Week]]&lt;=5, "0-5",
 IF(Table1[[#This Row],[Study_Hours_per_Week]]&lt;=10, "6-10",
 IF(Table1[[#This Row],[Study_Hours_per_Week]]&lt;=15, "11-15",
 IF(Table1[[#This Row],[Study_Hours_per_Week]]&lt;=20, "16-20", "21+"))))</f>
        <v>16-20</v>
      </c>
      <c r="N101" t="str">
        <f>IF(Table1[[#This Row],[GPA]] &gt;= 2, "Pass", "Fail")</f>
        <v>Fail</v>
      </c>
      <c r="O101">
        <v>1.08</v>
      </c>
      <c r="P101" t="str">
        <f t="shared" si="3"/>
        <v>Average</v>
      </c>
    </row>
    <row r="102" spans="1:16" hidden="1" x14ac:dyDescent="0.3">
      <c r="A102">
        <v>1101</v>
      </c>
      <c r="B102" t="s">
        <v>16</v>
      </c>
      <c r="C102">
        <v>21</v>
      </c>
      <c r="D102" t="s">
        <v>13</v>
      </c>
      <c r="E102" s="7">
        <v>18</v>
      </c>
      <c r="F102" s="6">
        <v>86.9</v>
      </c>
      <c r="G102">
        <v>6</v>
      </c>
      <c r="H102" s="4">
        <v>0.5</v>
      </c>
      <c r="I102" t="s">
        <v>17</v>
      </c>
      <c r="J102">
        <v>5</v>
      </c>
      <c r="K102">
        <v>6.5</v>
      </c>
      <c r="L102" t="s">
        <v>18</v>
      </c>
      <c r="M102" t="str">
        <f>IF(Table1[[#This Row],[Study_Hours_per_Week]]&lt;=5, "0-5",
 IF(Table1[[#This Row],[Study_Hours_per_Week]]&lt;=10, "6-10",
 IF(Table1[[#This Row],[Study_Hours_per_Week]]&lt;=15, "11-15",
 IF(Table1[[#This Row],[Study_Hours_per_Week]]&lt;=20, "16-20", "21+"))))</f>
        <v>16-20</v>
      </c>
      <c r="N102" t="str">
        <f>IF(Table1[[#This Row],[GPA]] &gt;= 2, "Pass", "Fail")</f>
        <v>Fail</v>
      </c>
      <c r="O102">
        <v>0.50600000000000001</v>
      </c>
      <c r="P102" t="str">
        <f t="shared" si="3"/>
        <v>Below Average</v>
      </c>
    </row>
    <row r="103" spans="1:16" hidden="1" x14ac:dyDescent="0.3">
      <c r="A103">
        <v>1102</v>
      </c>
      <c r="B103" t="s">
        <v>12</v>
      </c>
      <c r="C103">
        <v>24</v>
      </c>
      <c r="D103" t="s">
        <v>13</v>
      </c>
      <c r="E103" s="7">
        <v>18</v>
      </c>
      <c r="F103" s="6">
        <v>86.9</v>
      </c>
      <c r="G103">
        <v>9</v>
      </c>
      <c r="H103" s="4">
        <v>1.67</v>
      </c>
      <c r="I103" t="s">
        <v>14</v>
      </c>
      <c r="J103">
        <v>2</v>
      </c>
      <c r="K103">
        <v>5.8</v>
      </c>
      <c r="L103" t="s">
        <v>15</v>
      </c>
      <c r="M103" t="str">
        <f>IF(Table1[[#This Row],[Study_Hours_per_Week]]&lt;=5, "0-5",
 IF(Table1[[#This Row],[Study_Hours_per_Week]]&lt;=10, "6-10",
 IF(Table1[[#This Row],[Study_Hours_per_Week]]&lt;=15, "11-15",
 IF(Table1[[#This Row],[Study_Hours_per_Week]]&lt;=20, "16-20", "21+"))))</f>
        <v>16-20</v>
      </c>
      <c r="N103" t="str">
        <f>IF(Table1[[#This Row],[GPA]] &gt;= 2, "Pass", "Fail")</f>
        <v>Fail</v>
      </c>
      <c r="O103">
        <v>1.272</v>
      </c>
      <c r="P103" t="str">
        <f t="shared" si="3"/>
        <v>Good</v>
      </c>
    </row>
    <row r="104" spans="1:16" hidden="1" x14ac:dyDescent="0.3">
      <c r="A104">
        <v>1103</v>
      </c>
      <c r="B104" t="s">
        <v>12</v>
      </c>
      <c r="C104">
        <v>21</v>
      </c>
      <c r="D104" t="s">
        <v>13</v>
      </c>
      <c r="E104" s="7">
        <v>18</v>
      </c>
      <c r="F104" s="6">
        <v>86.9</v>
      </c>
      <c r="G104">
        <v>10</v>
      </c>
      <c r="H104" s="4">
        <v>1.54</v>
      </c>
      <c r="I104" t="s">
        <v>17</v>
      </c>
      <c r="J104">
        <v>8</v>
      </c>
      <c r="K104">
        <v>5</v>
      </c>
      <c r="L104" t="s">
        <v>18</v>
      </c>
      <c r="M104" t="str">
        <f>IF(Table1[[#This Row],[Study_Hours_per_Week]]&lt;=5, "0-5",
 IF(Table1[[#This Row],[Study_Hours_per_Week]]&lt;=10, "6-10",
 IF(Table1[[#This Row],[Study_Hours_per_Week]]&lt;=15, "11-15",
 IF(Table1[[#This Row],[Study_Hours_per_Week]]&lt;=20, "16-20", "21+"))))</f>
        <v>16-20</v>
      </c>
      <c r="N104" t="str">
        <f>IF(Table1[[#This Row],[GPA]] &gt;= 2, "Pass", "Fail")</f>
        <v>Fail</v>
      </c>
      <c r="O104">
        <v>1.169</v>
      </c>
      <c r="P104" t="str">
        <f t="shared" si="3"/>
        <v>Good</v>
      </c>
    </row>
    <row r="105" spans="1:16" hidden="1" x14ac:dyDescent="0.3">
      <c r="A105">
        <v>1104</v>
      </c>
      <c r="B105" t="s">
        <v>16</v>
      </c>
      <c r="C105">
        <v>23</v>
      </c>
      <c r="D105" t="s">
        <v>13</v>
      </c>
      <c r="E105" s="7">
        <v>18</v>
      </c>
      <c r="F105" s="6">
        <v>86.9</v>
      </c>
      <c r="G105">
        <v>10</v>
      </c>
      <c r="H105" s="4">
        <v>0.83</v>
      </c>
      <c r="I105" t="s">
        <v>17</v>
      </c>
      <c r="J105">
        <v>6</v>
      </c>
      <c r="K105">
        <v>8.1</v>
      </c>
      <c r="L105" t="s">
        <v>18</v>
      </c>
      <c r="M105" t="str">
        <f>IF(Table1[[#This Row],[Study_Hours_per_Week]]&lt;=5, "0-5",
 IF(Table1[[#This Row],[Study_Hours_per_Week]]&lt;=10, "6-10",
 IF(Table1[[#This Row],[Study_Hours_per_Week]]&lt;=15, "11-15",
 IF(Table1[[#This Row],[Study_Hours_per_Week]]&lt;=20, "16-20", "21+"))))</f>
        <v>16-20</v>
      </c>
      <c r="N105" t="str">
        <f>IF(Table1[[#This Row],[GPA]] &gt;= 2, "Pass", "Fail")</f>
        <v>Fail</v>
      </c>
      <c r="O105">
        <v>0.78200000000000003</v>
      </c>
      <c r="P105" t="str">
        <f t="shared" si="3"/>
        <v>Below Average</v>
      </c>
    </row>
    <row r="106" spans="1:16" hidden="1" x14ac:dyDescent="0.3">
      <c r="A106">
        <v>1105</v>
      </c>
      <c r="B106" t="s">
        <v>16</v>
      </c>
      <c r="C106">
        <v>22</v>
      </c>
      <c r="D106" t="s">
        <v>13</v>
      </c>
      <c r="E106" s="7">
        <v>18</v>
      </c>
      <c r="F106" s="6">
        <v>86.9</v>
      </c>
      <c r="G106">
        <v>6</v>
      </c>
      <c r="H106" s="4">
        <v>0.9</v>
      </c>
      <c r="I106" t="s">
        <v>17</v>
      </c>
      <c r="J106">
        <v>5</v>
      </c>
      <c r="K106">
        <v>5.9</v>
      </c>
      <c r="L106" t="s">
        <v>18</v>
      </c>
      <c r="M106" t="str">
        <f>IF(Table1[[#This Row],[Study_Hours_per_Week]]&lt;=5, "0-5",
 IF(Table1[[#This Row],[Study_Hours_per_Week]]&lt;=10, "6-10",
 IF(Table1[[#This Row],[Study_Hours_per_Week]]&lt;=15, "11-15",
 IF(Table1[[#This Row],[Study_Hours_per_Week]]&lt;=20, "16-20", "21+"))))</f>
        <v>16-20</v>
      </c>
      <c r="N106" t="str">
        <f>IF(Table1[[#This Row],[GPA]] &gt;= 2, "Pass", "Fail")</f>
        <v>Fail</v>
      </c>
      <c r="O106">
        <v>0.77800000000000002</v>
      </c>
      <c r="P106" t="str">
        <f t="shared" si="3"/>
        <v>Below Average</v>
      </c>
    </row>
    <row r="107" spans="1:16" hidden="1" x14ac:dyDescent="0.3">
      <c r="A107">
        <v>1106</v>
      </c>
      <c r="B107" t="s">
        <v>16</v>
      </c>
      <c r="C107">
        <v>18</v>
      </c>
      <c r="D107" t="s">
        <v>13</v>
      </c>
      <c r="E107" s="7">
        <v>18</v>
      </c>
      <c r="F107" s="6">
        <v>86.9</v>
      </c>
      <c r="G107">
        <v>10</v>
      </c>
      <c r="H107" s="4">
        <v>1.37</v>
      </c>
      <c r="I107" t="s">
        <v>14</v>
      </c>
      <c r="J107">
        <v>6</v>
      </c>
      <c r="K107">
        <v>6.6</v>
      </c>
      <c r="L107" t="s">
        <v>15</v>
      </c>
      <c r="M107" t="str">
        <f>IF(Table1[[#This Row],[Study_Hours_per_Week]]&lt;=5, "0-5",
 IF(Table1[[#This Row],[Study_Hours_per_Week]]&lt;=10, "6-10",
 IF(Table1[[#This Row],[Study_Hours_per_Week]]&lt;=15, "11-15",
 IF(Table1[[#This Row],[Study_Hours_per_Week]]&lt;=20, "16-20", "21+"))))</f>
        <v>16-20</v>
      </c>
      <c r="N107" t="str">
        <f>IF(Table1[[#This Row],[GPA]] &gt;= 2, "Pass", "Fail")</f>
        <v>Fail</v>
      </c>
      <c r="O107">
        <v>1.109</v>
      </c>
      <c r="P107" t="str">
        <f t="shared" si="3"/>
        <v>Average</v>
      </c>
    </row>
    <row r="108" spans="1:16" hidden="1" x14ac:dyDescent="0.3">
      <c r="A108">
        <v>1107</v>
      </c>
      <c r="B108" t="s">
        <v>12</v>
      </c>
      <c r="C108">
        <v>20</v>
      </c>
      <c r="D108" t="s">
        <v>13</v>
      </c>
      <c r="E108" s="7">
        <v>18</v>
      </c>
      <c r="F108" s="6">
        <v>86.9</v>
      </c>
      <c r="G108">
        <v>9</v>
      </c>
      <c r="H108" s="4">
        <v>0.84</v>
      </c>
      <c r="I108" t="s">
        <v>14</v>
      </c>
      <c r="J108">
        <v>4</v>
      </c>
      <c r="K108">
        <v>7.7</v>
      </c>
      <c r="L108" t="s">
        <v>15</v>
      </c>
      <c r="M108" t="str">
        <f>IF(Table1[[#This Row],[Study_Hours_per_Week]]&lt;=5, "0-5",
 IF(Table1[[#This Row],[Study_Hours_per_Week]]&lt;=10, "6-10",
 IF(Table1[[#This Row],[Study_Hours_per_Week]]&lt;=15, "11-15",
 IF(Table1[[#This Row],[Study_Hours_per_Week]]&lt;=20, "16-20", "21+"))))</f>
        <v>16-20</v>
      </c>
      <c r="N108" t="str">
        <f>IF(Table1[[#This Row],[GPA]] &gt;= 2, "Pass", "Fail")</f>
        <v>Fail</v>
      </c>
      <c r="O108">
        <v>0.755</v>
      </c>
      <c r="P108" t="str">
        <f t="shared" si="3"/>
        <v>Below Average</v>
      </c>
    </row>
    <row r="109" spans="1:16" hidden="1" x14ac:dyDescent="0.3">
      <c r="A109">
        <v>1108</v>
      </c>
      <c r="B109" t="s">
        <v>12</v>
      </c>
      <c r="C109">
        <v>21</v>
      </c>
      <c r="D109" t="s">
        <v>13</v>
      </c>
      <c r="E109" s="7">
        <v>18</v>
      </c>
      <c r="F109" s="6">
        <v>86.9</v>
      </c>
      <c r="G109">
        <v>6</v>
      </c>
      <c r="H109" s="4">
        <v>1.44</v>
      </c>
      <c r="I109" t="s">
        <v>14</v>
      </c>
      <c r="J109">
        <v>2</v>
      </c>
      <c r="K109">
        <v>5.6</v>
      </c>
      <c r="L109" t="s">
        <v>18</v>
      </c>
      <c r="M109" t="str">
        <f>IF(Table1[[#This Row],[Study_Hours_per_Week]]&lt;=5, "0-5",
 IF(Table1[[#This Row],[Study_Hours_per_Week]]&lt;=10, "6-10",
 IF(Table1[[#This Row],[Study_Hours_per_Week]]&lt;=15, "11-15",
 IF(Table1[[#This Row],[Study_Hours_per_Week]]&lt;=20, "16-20", "21+"))))</f>
        <v>16-20</v>
      </c>
      <c r="N109" t="str">
        <f>IF(Table1[[#This Row],[GPA]] &gt;= 2, "Pass", "Fail")</f>
        <v>Fail</v>
      </c>
      <c r="O109">
        <v>1.1439999999999999</v>
      </c>
      <c r="P109" t="str">
        <f t="shared" si="3"/>
        <v>Good</v>
      </c>
    </row>
    <row r="110" spans="1:16" hidden="1" x14ac:dyDescent="0.3">
      <c r="A110">
        <v>1109</v>
      </c>
      <c r="B110" t="s">
        <v>16</v>
      </c>
      <c r="C110">
        <v>23</v>
      </c>
      <c r="D110" t="s">
        <v>13</v>
      </c>
      <c r="E110" s="7">
        <v>18</v>
      </c>
      <c r="F110" s="6">
        <v>86.9</v>
      </c>
      <c r="G110">
        <v>10</v>
      </c>
      <c r="H110" s="4">
        <v>0.95</v>
      </c>
      <c r="I110" t="s">
        <v>14</v>
      </c>
      <c r="J110">
        <v>7</v>
      </c>
      <c r="K110">
        <v>7.1</v>
      </c>
      <c r="L110" t="s">
        <v>18</v>
      </c>
      <c r="M110" t="str">
        <f>IF(Table1[[#This Row],[Study_Hours_per_Week]]&lt;=5, "0-5",
 IF(Table1[[#This Row],[Study_Hours_per_Week]]&lt;=10, "6-10",
 IF(Table1[[#This Row],[Study_Hours_per_Week]]&lt;=15, "11-15",
 IF(Table1[[#This Row],[Study_Hours_per_Week]]&lt;=20, "16-20", "21+"))))</f>
        <v>16-20</v>
      </c>
      <c r="N110" t="str">
        <f>IF(Table1[[#This Row],[GPA]] &gt;= 2, "Pass", "Fail")</f>
        <v>Fail</v>
      </c>
      <c r="O110">
        <v>0.79700000000000004</v>
      </c>
      <c r="P110" t="str">
        <f t="shared" si="3"/>
        <v>Below Average</v>
      </c>
    </row>
    <row r="111" spans="1:16" x14ac:dyDescent="0.3">
      <c r="A111">
        <v>1110</v>
      </c>
      <c r="B111" t="s">
        <v>12</v>
      </c>
      <c r="C111">
        <v>23</v>
      </c>
      <c r="D111" t="s">
        <v>13</v>
      </c>
      <c r="E111" s="7">
        <v>18</v>
      </c>
      <c r="F111" s="6">
        <v>86.9</v>
      </c>
      <c r="G111">
        <v>10</v>
      </c>
      <c r="H111" s="4">
        <v>1.1499999999999999</v>
      </c>
      <c r="I111" t="s">
        <v>17</v>
      </c>
      <c r="J111">
        <v>3</v>
      </c>
      <c r="K111">
        <v>7</v>
      </c>
      <c r="L111" t="s">
        <v>15</v>
      </c>
      <c r="M111" t="str">
        <f>IF(Table1[[#This Row],[Study_Hours_per_Week]]&lt;=5, "0-5",
 IF(Table1[[#This Row],[Study_Hours_per_Week]]&lt;=10, "6-10",
 IF(Table1[[#This Row],[Study_Hours_per_Week]]&lt;=15, "11-15",
 IF(Table1[[#This Row],[Study_Hours_per_Week]]&lt;=20, "16-20", "21+"))))</f>
        <v>16-20</v>
      </c>
      <c r="N111" t="str">
        <f>IF(Table1[[#This Row],[GPA]] &gt;= 2, "Pass", "Fail")</f>
        <v>Fail</v>
      </c>
      <c r="O111">
        <v>0.95299999999999996</v>
      </c>
      <c r="P111" t="str">
        <f t="shared" si="3"/>
        <v>Average</v>
      </c>
    </row>
    <row r="112" spans="1:16" hidden="1" x14ac:dyDescent="0.3">
      <c r="A112">
        <v>1111</v>
      </c>
      <c r="B112" t="s">
        <v>16</v>
      </c>
      <c r="C112">
        <v>22</v>
      </c>
      <c r="D112" t="s">
        <v>13</v>
      </c>
      <c r="E112" s="7">
        <v>18</v>
      </c>
      <c r="F112" s="6">
        <v>86.9</v>
      </c>
      <c r="G112">
        <v>3</v>
      </c>
      <c r="H112" s="4">
        <v>1.08</v>
      </c>
      <c r="I112" t="s">
        <v>14</v>
      </c>
      <c r="J112">
        <v>5</v>
      </c>
      <c r="K112">
        <v>4.7</v>
      </c>
      <c r="L112" t="s">
        <v>18</v>
      </c>
      <c r="M112" t="str">
        <f>IF(Table1[[#This Row],[Study_Hours_per_Week]]&lt;=5, "0-5",
 IF(Table1[[#This Row],[Study_Hours_per_Week]]&lt;=10, "6-10",
 IF(Table1[[#This Row],[Study_Hours_per_Week]]&lt;=15, "11-15",
 IF(Table1[[#This Row],[Study_Hours_per_Week]]&lt;=20, "16-20", "21+"))))</f>
        <v>16-20</v>
      </c>
      <c r="N112" t="str">
        <f>IF(Table1[[#This Row],[GPA]] &gt;= 2, "Pass", "Fail")</f>
        <v>Fail</v>
      </c>
      <c r="O112">
        <v>0.83499999999999996</v>
      </c>
      <c r="P112" t="str">
        <f t="shared" si="3"/>
        <v>Average</v>
      </c>
    </row>
    <row r="113" spans="1:16" hidden="1" x14ac:dyDescent="0.3">
      <c r="A113">
        <v>1112</v>
      </c>
      <c r="B113" t="s">
        <v>16</v>
      </c>
      <c r="C113">
        <v>19</v>
      </c>
      <c r="D113" t="s">
        <v>13</v>
      </c>
      <c r="E113" s="7">
        <v>18</v>
      </c>
      <c r="F113" s="6">
        <v>86.9</v>
      </c>
      <c r="G113">
        <v>6</v>
      </c>
      <c r="H113" s="4">
        <v>0.96</v>
      </c>
      <c r="I113" t="s">
        <v>14</v>
      </c>
      <c r="J113">
        <v>4</v>
      </c>
      <c r="K113">
        <v>8</v>
      </c>
      <c r="L113" t="s">
        <v>18</v>
      </c>
      <c r="M113" t="str">
        <f>IF(Table1[[#This Row],[Study_Hours_per_Week]]&lt;=5, "0-5",
 IF(Table1[[#This Row],[Study_Hours_per_Week]]&lt;=10, "6-10",
 IF(Table1[[#This Row],[Study_Hours_per_Week]]&lt;=15, "11-15",
 IF(Table1[[#This Row],[Study_Hours_per_Week]]&lt;=20, "16-20", "21+"))))</f>
        <v>16-20</v>
      </c>
      <c r="N113" t="str">
        <f>IF(Table1[[#This Row],[GPA]] &gt;= 2, "Pass", "Fail")</f>
        <v>Fail</v>
      </c>
      <c r="O113">
        <v>0.76100000000000001</v>
      </c>
      <c r="P113" t="str">
        <f t="shared" si="3"/>
        <v>Below Average</v>
      </c>
    </row>
    <row r="114" spans="1:16" hidden="1" x14ac:dyDescent="0.3">
      <c r="A114">
        <v>1113</v>
      </c>
      <c r="B114" t="s">
        <v>12</v>
      </c>
      <c r="C114">
        <v>22</v>
      </c>
      <c r="D114" t="s">
        <v>13</v>
      </c>
      <c r="E114" s="7">
        <v>18</v>
      </c>
      <c r="F114" s="6">
        <v>86.9</v>
      </c>
      <c r="G114">
        <v>5</v>
      </c>
      <c r="H114" s="4">
        <v>1.06</v>
      </c>
      <c r="I114" t="s">
        <v>19</v>
      </c>
      <c r="J114">
        <v>5</v>
      </c>
      <c r="K114">
        <v>6.7</v>
      </c>
      <c r="L114" t="s">
        <v>15</v>
      </c>
      <c r="M114" t="str">
        <f>IF(Table1[[#This Row],[Study_Hours_per_Week]]&lt;=5, "0-5",
 IF(Table1[[#This Row],[Study_Hours_per_Week]]&lt;=10, "6-10",
 IF(Table1[[#This Row],[Study_Hours_per_Week]]&lt;=15, "11-15",
 IF(Table1[[#This Row],[Study_Hours_per_Week]]&lt;=20, "16-20", "21+"))))</f>
        <v>16-20</v>
      </c>
      <c r="N114" t="str">
        <f>IF(Table1[[#This Row],[GPA]] &gt;= 2, "Pass", "Fail")</f>
        <v>Fail</v>
      </c>
      <c r="O114">
        <v>0.88700000000000001</v>
      </c>
      <c r="P114" t="str">
        <f t="shared" si="3"/>
        <v>Average</v>
      </c>
    </row>
    <row r="115" spans="1:16" hidden="1" x14ac:dyDescent="0.3">
      <c r="A115">
        <v>1114</v>
      </c>
      <c r="B115" t="s">
        <v>16</v>
      </c>
      <c r="C115">
        <v>18</v>
      </c>
      <c r="D115" t="s">
        <v>13</v>
      </c>
      <c r="E115" s="7">
        <v>18</v>
      </c>
      <c r="F115" s="6">
        <v>86.9</v>
      </c>
      <c r="G115">
        <v>8</v>
      </c>
      <c r="H115" s="4">
        <v>1.57</v>
      </c>
      <c r="I115" t="s">
        <v>14</v>
      </c>
      <c r="J115">
        <v>7</v>
      </c>
      <c r="K115">
        <v>6.2</v>
      </c>
      <c r="L115" t="s">
        <v>18</v>
      </c>
      <c r="M115" t="str">
        <f>IF(Table1[[#This Row],[Study_Hours_per_Week]]&lt;=5, "0-5",
 IF(Table1[[#This Row],[Study_Hours_per_Week]]&lt;=10, "6-10",
 IF(Table1[[#This Row],[Study_Hours_per_Week]]&lt;=15, "11-15",
 IF(Table1[[#This Row],[Study_Hours_per_Week]]&lt;=20, "16-20", "21+"))))</f>
        <v>16-20</v>
      </c>
      <c r="N115" t="str">
        <f>IF(Table1[[#This Row],[GPA]] &gt;= 2, "Pass", "Fail")</f>
        <v>Fail</v>
      </c>
      <c r="O115">
        <v>1.2</v>
      </c>
      <c r="P115" t="str">
        <f t="shared" si="3"/>
        <v>Good</v>
      </c>
    </row>
    <row r="116" spans="1:16" hidden="1" x14ac:dyDescent="0.3">
      <c r="A116">
        <v>1115</v>
      </c>
      <c r="B116" t="s">
        <v>16</v>
      </c>
      <c r="C116">
        <v>21</v>
      </c>
      <c r="D116" t="s">
        <v>13</v>
      </c>
      <c r="E116" s="7">
        <v>18</v>
      </c>
      <c r="F116" s="6">
        <v>86.9</v>
      </c>
      <c r="G116">
        <v>3</v>
      </c>
      <c r="H116" s="4">
        <v>1.6</v>
      </c>
      <c r="I116" t="s">
        <v>14</v>
      </c>
      <c r="J116">
        <v>3</v>
      </c>
      <c r="K116">
        <v>6.6</v>
      </c>
      <c r="L116" t="s">
        <v>15</v>
      </c>
      <c r="M116" t="str">
        <f>IF(Table1[[#This Row],[Study_Hours_per_Week]]&lt;=5, "0-5",
 IF(Table1[[#This Row],[Study_Hours_per_Week]]&lt;=10, "6-10",
 IF(Table1[[#This Row],[Study_Hours_per_Week]]&lt;=15, "11-15",
 IF(Table1[[#This Row],[Study_Hours_per_Week]]&lt;=20, "16-20", "21+"))))</f>
        <v>16-20</v>
      </c>
      <c r="N116" t="str">
        <f>IF(Table1[[#This Row],[GPA]] &gt;= 2, "Pass", "Fail")</f>
        <v>Fail</v>
      </c>
      <c r="O116">
        <v>1.248</v>
      </c>
      <c r="P116" t="str">
        <f t="shared" si="3"/>
        <v>Good</v>
      </c>
    </row>
    <row r="117" spans="1:16" hidden="1" x14ac:dyDescent="0.3">
      <c r="A117">
        <v>1116</v>
      </c>
      <c r="B117" t="s">
        <v>16</v>
      </c>
      <c r="C117">
        <v>23</v>
      </c>
      <c r="D117" t="s">
        <v>13</v>
      </c>
      <c r="E117" s="7">
        <v>18</v>
      </c>
      <c r="F117" s="6">
        <v>86.9</v>
      </c>
      <c r="G117">
        <v>8</v>
      </c>
      <c r="H117" s="4">
        <v>0.95</v>
      </c>
      <c r="I117" t="s">
        <v>14</v>
      </c>
      <c r="J117">
        <v>2</v>
      </c>
      <c r="K117">
        <v>4.9000000000000004</v>
      </c>
      <c r="L117" t="s">
        <v>18</v>
      </c>
      <c r="M117" t="str">
        <f>IF(Table1[[#This Row],[Study_Hours_per_Week]]&lt;=5, "0-5",
 IF(Table1[[#This Row],[Study_Hours_per_Week]]&lt;=10, "6-10",
 IF(Table1[[#This Row],[Study_Hours_per_Week]]&lt;=15, "11-15",
 IF(Table1[[#This Row],[Study_Hours_per_Week]]&lt;=20, "16-20", "21+"))))</f>
        <v>16-20</v>
      </c>
      <c r="N117" t="str">
        <f>IF(Table1[[#This Row],[GPA]] &gt;= 2, "Pass", "Fail")</f>
        <v>Fail</v>
      </c>
      <c r="O117">
        <v>0.77</v>
      </c>
      <c r="P117" t="str">
        <f t="shared" si="3"/>
        <v>Below Average</v>
      </c>
    </row>
    <row r="118" spans="1:16" hidden="1" x14ac:dyDescent="0.3">
      <c r="A118">
        <v>1117</v>
      </c>
      <c r="B118" t="s">
        <v>16</v>
      </c>
      <c r="C118">
        <v>18</v>
      </c>
      <c r="D118" t="s">
        <v>13</v>
      </c>
      <c r="E118" s="7">
        <v>18</v>
      </c>
      <c r="F118" s="6">
        <v>86.9</v>
      </c>
      <c r="G118">
        <v>10</v>
      </c>
      <c r="H118" s="4">
        <v>1.77</v>
      </c>
      <c r="I118" t="s">
        <v>19</v>
      </c>
      <c r="J118">
        <v>7</v>
      </c>
      <c r="K118">
        <v>6.8</v>
      </c>
      <c r="L118" t="s">
        <v>15</v>
      </c>
      <c r="M118" t="str">
        <f>IF(Table1[[#This Row],[Study_Hours_per_Week]]&lt;=5, "0-5",
 IF(Table1[[#This Row],[Study_Hours_per_Week]]&lt;=10, "6-10",
 IF(Table1[[#This Row],[Study_Hours_per_Week]]&lt;=15, "11-15",
 IF(Table1[[#This Row],[Study_Hours_per_Week]]&lt;=20, "16-20", "21+"))))</f>
        <v>16-20</v>
      </c>
      <c r="N118" t="str">
        <f>IF(Table1[[#This Row],[GPA]] &gt;= 2, "Pass", "Fail")</f>
        <v>Fail</v>
      </c>
      <c r="O118">
        <v>1.355</v>
      </c>
      <c r="P118" t="str">
        <f t="shared" si="3"/>
        <v>Good</v>
      </c>
    </row>
    <row r="119" spans="1:16" hidden="1" x14ac:dyDescent="0.3">
      <c r="A119">
        <v>1118</v>
      </c>
      <c r="B119" t="s">
        <v>12</v>
      </c>
      <c r="C119">
        <v>20</v>
      </c>
      <c r="D119" t="s">
        <v>13</v>
      </c>
      <c r="E119" s="7">
        <v>18</v>
      </c>
      <c r="F119" s="6">
        <v>86.9</v>
      </c>
      <c r="G119">
        <v>6</v>
      </c>
      <c r="H119" s="4">
        <v>1.28</v>
      </c>
      <c r="I119" t="s">
        <v>17</v>
      </c>
      <c r="J119">
        <v>4</v>
      </c>
      <c r="K119">
        <v>6.7</v>
      </c>
      <c r="L119" t="s">
        <v>18</v>
      </c>
      <c r="M119" t="str">
        <f>IF(Table1[[#This Row],[Study_Hours_per_Week]]&lt;=5, "0-5",
 IF(Table1[[#This Row],[Study_Hours_per_Week]]&lt;=10, "6-10",
 IF(Table1[[#This Row],[Study_Hours_per_Week]]&lt;=15, "11-15",
 IF(Table1[[#This Row],[Study_Hours_per_Week]]&lt;=20, "16-20", "21+"))))</f>
        <v>16-20</v>
      </c>
      <c r="N119" t="str">
        <f>IF(Table1[[#This Row],[GPA]] &gt;= 2, "Pass", "Fail")</f>
        <v>Fail</v>
      </c>
      <c r="O119">
        <v>1.034</v>
      </c>
      <c r="P119" t="str">
        <f t="shared" si="3"/>
        <v>Average</v>
      </c>
    </row>
    <row r="120" spans="1:16" hidden="1" x14ac:dyDescent="0.3">
      <c r="A120">
        <v>1119</v>
      </c>
      <c r="B120" t="s">
        <v>16</v>
      </c>
      <c r="C120">
        <v>18</v>
      </c>
      <c r="D120" t="s">
        <v>13</v>
      </c>
      <c r="E120" s="7">
        <v>18</v>
      </c>
      <c r="F120" s="6">
        <v>86.9</v>
      </c>
      <c r="G120">
        <v>7</v>
      </c>
      <c r="H120" s="4">
        <v>1.24</v>
      </c>
      <c r="I120" t="s">
        <v>14</v>
      </c>
      <c r="J120">
        <v>3</v>
      </c>
      <c r="K120">
        <v>5.0999999999999996</v>
      </c>
      <c r="L120" t="s">
        <v>18</v>
      </c>
      <c r="M120" t="str">
        <f>IF(Table1[[#This Row],[Study_Hours_per_Week]]&lt;=5, "0-5",
 IF(Table1[[#This Row],[Study_Hours_per_Week]]&lt;=10, "6-10",
 IF(Table1[[#This Row],[Study_Hours_per_Week]]&lt;=15, "11-15",
 IF(Table1[[#This Row],[Study_Hours_per_Week]]&lt;=20, "16-20", "21+"))))</f>
        <v>16-20</v>
      </c>
      <c r="N120" t="str">
        <f>IF(Table1[[#This Row],[GPA]] &gt;= 2, "Pass", "Fail")</f>
        <v>Fail</v>
      </c>
      <c r="O120">
        <v>0.93899999999999995</v>
      </c>
      <c r="P120" t="str">
        <f t="shared" si="3"/>
        <v>Average</v>
      </c>
    </row>
    <row r="121" spans="1:16" hidden="1" x14ac:dyDescent="0.3">
      <c r="A121">
        <v>1120</v>
      </c>
      <c r="B121" t="s">
        <v>16</v>
      </c>
      <c r="C121">
        <v>21</v>
      </c>
      <c r="D121" t="s">
        <v>13</v>
      </c>
      <c r="E121" s="7">
        <v>18</v>
      </c>
      <c r="F121" s="6">
        <v>86.9</v>
      </c>
      <c r="G121">
        <v>10</v>
      </c>
      <c r="H121" s="4">
        <v>1.26</v>
      </c>
      <c r="I121" t="s">
        <v>17</v>
      </c>
      <c r="J121">
        <v>3</v>
      </c>
      <c r="K121">
        <v>6.9</v>
      </c>
      <c r="L121" t="s">
        <v>18</v>
      </c>
      <c r="M121" t="str">
        <f>IF(Table1[[#This Row],[Study_Hours_per_Week]]&lt;=5, "0-5",
 IF(Table1[[#This Row],[Study_Hours_per_Week]]&lt;=10, "6-10",
 IF(Table1[[#This Row],[Study_Hours_per_Week]]&lt;=15, "11-15",
 IF(Table1[[#This Row],[Study_Hours_per_Week]]&lt;=20, "16-20", "21+"))))</f>
        <v>16-20</v>
      </c>
      <c r="N121" t="str">
        <f>IF(Table1[[#This Row],[GPA]] &gt;= 2, "Pass", "Fail")</f>
        <v>Fail</v>
      </c>
      <c r="O121">
        <v>1.0469999999999999</v>
      </c>
      <c r="P121" t="str">
        <f t="shared" si="3"/>
        <v>Average</v>
      </c>
    </row>
    <row r="122" spans="1:16" hidden="1" x14ac:dyDescent="0.3">
      <c r="A122">
        <v>1121</v>
      </c>
      <c r="B122" t="s">
        <v>16</v>
      </c>
      <c r="C122">
        <v>21</v>
      </c>
      <c r="D122" t="s">
        <v>13</v>
      </c>
      <c r="E122" s="7">
        <v>18</v>
      </c>
      <c r="F122" s="6">
        <v>86.9</v>
      </c>
      <c r="G122">
        <v>7</v>
      </c>
      <c r="H122" s="4">
        <v>1.29</v>
      </c>
      <c r="I122" t="s">
        <v>14</v>
      </c>
      <c r="J122">
        <v>4</v>
      </c>
      <c r="K122">
        <v>5.2</v>
      </c>
      <c r="L122" t="s">
        <v>18</v>
      </c>
      <c r="M122" t="str">
        <f>IF(Table1[[#This Row],[Study_Hours_per_Week]]&lt;=5, "0-5",
 IF(Table1[[#This Row],[Study_Hours_per_Week]]&lt;=10, "6-10",
 IF(Table1[[#This Row],[Study_Hours_per_Week]]&lt;=15, "11-15",
 IF(Table1[[#This Row],[Study_Hours_per_Week]]&lt;=20, "16-20", "21+"))))</f>
        <v>16-20</v>
      </c>
      <c r="N122" t="str">
        <f>IF(Table1[[#This Row],[GPA]] &gt;= 2, "Pass", "Fail")</f>
        <v>Fail</v>
      </c>
      <c r="O122">
        <v>1.0369999999999999</v>
      </c>
      <c r="P122" t="str">
        <f t="shared" si="3"/>
        <v>Average</v>
      </c>
    </row>
    <row r="123" spans="1:16" hidden="1" x14ac:dyDescent="0.3">
      <c r="A123">
        <v>1122</v>
      </c>
      <c r="B123" t="s">
        <v>16</v>
      </c>
      <c r="C123">
        <v>18</v>
      </c>
      <c r="D123" t="s">
        <v>13</v>
      </c>
      <c r="E123" s="7">
        <v>18</v>
      </c>
      <c r="F123" s="6">
        <v>86.9</v>
      </c>
      <c r="G123">
        <v>10</v>
      </c>
      <c r="H123" s="4">
        <v>1.38</v>
      </c>
      <c r="I123" t="s">
        <v>14</v>
      </c>
      <c r="J123">
        <v>4</v>
      </c>
      <c r="K123">
        <v>6.4</v>
      </c>
      <c r="L123" t="s">
        <v>18</v>
      </c>
      <c r="M123" t="str">
        <f>IF(Table1[[#This Row],[Study_Hours_per_Week]]&lt;=5, "0-5",
 IF(Table1[[#This Row],[Study_Hours_per_Week]]&lt;=10, "6-10",
 IF(Table1[[#This Row],[Study_Hours_per_Week]]&lt;=15, "11-15",
 IF(Table1[[#This Row],[Study_Hours_per_Week]]&lt;=20, "16-20", "21+"))))</f>
        <v>16-20</v>
      </c>
      <c r="N123" t="str">
        <f>IF(Table1[[#This Row],[GPA]] &gt;= 2, "Pass", "Fail")</f>
        <v>Fail</v>
      </c>
      <c r="O123">
        <v>1.109</v>
      </c>
      <c r="P123" t="str">
        <f t="shared" si="3"/>
        <v>Average</v>
      </c>
    </row>
    <row r="124" spans="1:16" hidden="1" x14ac:dyDescent="0.3">
      <c r="A124">
        <v>1123</v>
      </c>
      <c r="B124" t="s">
        <v>16</v>
      </c>
      <c r="C124">
        <v>22</v>
      </c>
      <c r="D124" t="s">
        <v>13</v>
      </c>
      <c r="E124" s="7">
        <v>18</v>
      </c>
      <c r="F124" s="6">
        <v>86.9</v>
      </c>
      <c r="G124">
        <v>10</v>
      </c>
      <c r="H124" s="4">
        <v>1.25</v>
      </c>
      <c r="I124" t="s">
        <v>14</v>
      </c>
      <c r="J124">
        <v>4</v>
      </c>
      <c r="K124">
        <v>7.3</v>
      </c>
      <c r="L124" t="s">
        <v>18</v>
      </c>
      <c r="M124" t="str">
        <f>IF(Table1[[#This Row],[Study_Hours_per_Week]]&lt;=5, "0-5",
 IF(Table1[[#This Row],[Study_Hours_per_Week]]&lt;=10, "6-10",
 IF(Table1[[#This Row],[Study_Hours_per_Week]]&lt;=15, "11-15",
 IF(Table1[[#This Row],[Study_Hours_per_Week]]&lt;=20, "16-20", "21+"))))</f>
        <v>16-20</v>
      </c>
      <c r="N124" t="str">
        <f>IF(Table1[[#This Row],[GPA]] &gt;= 2, "Pass", "Fail")</f>
        <v>Fail</v>
      </c>
      <c r="O124">
        <v>1.0349999999999999</v>
      </c>
      <c r="P124" t="str">
        <f t="shared" si="3"/>
        <v>Average</v>
      </c>
    </row>
    <row r="125" spans="1:16" hidden="1" x14ac:dyDescent="0.3">
      <c r="A125">
        <v>1124</v>
      </c>
      <c r="B125" t="s">
        <v>16</v>
      </c>
      <c r="C125">
        <v>19</v>
      </c>
      <c r="D125" t="s">
        <v>13</v>
      </c>
      <c r="E125" s="7">
        <v>18</v>
      </c>
      <c r="F125" s="6">
        <v>86.9</v>
      </c>
      <c r="G125">
        <v>8</v>
      </c>
      <c r="H125" s="4">
        <v>1.04</v>
      </c>
      <c r="I125" t="s">
        <v>14</v>
      </c>
      <c r="J125">
        <v>3</v>
      </c>
      <c r="K125">
        <v>7.1</v>
      </c>
      <c r="L125" t="s">
        <v>18</v>
      </c>
      <c r="M125" t="str">
        <f>IF(Table1[[#This Row],[Study_Hours_per_Week]]&lt;=5, "0-5",
 IF(Table1[[#This Row],[Study_Hours_per_Week]]&lt;=10, "6-10",
 IF(Table1[[#This Row],[Study_Hours_per_Week]]&lt;=15, "11-15",
 IF(Table1[[#This Row],[Study_Hours_per_Week]]&lt;=20, "16-20", "21+"))))</f>
        <v>16-20</v>
      </c>
      <c r="N125" t="str">
        <f>IF(Table1[[#This Row],[GPA]] &gt;= 2, "Pass", "Fail")</f>
        <v>Fail</v>
      </c>
      <c r="O125">
        <v>0.86599999999999999</v>
      </c>
      <c r="P125" t="str">
        <f t="shared" si="3"/>
        <v>Average</v>
      </c>
    </row>
    <row r="126" spans="1:16" hidden="1" x14ac:dyDescent="0.3">
      <c r="A126">
        <v>1125</v>
      </c>
      <c r="B126" t="s">
        <v>12</v>
      </c>
      <c r="C126">
        <v>22</v>
      </c>
      <c r="D126" t="s">
        <v>13</v>
      </c>
      <c r="E126" s="7">
        <v>18</v>
      </c>
      <c r="F126" s="6">
        <v>86.9</v>
      </c>
      <c r="G126">
        <v>10</v>
      </c>
      <c r="H126" s="4">
        <v>1.7</v>
      </c>
      <c r="I126" t="s">
        <v>19</v>
      </c>
      <c r="J126">
        <v>3</v>
      </c>
      <c r="K126">
        <v>7.7</v>
      </c>
      <c r="L126" t="s">
        <v>18</v>
      </c>
      <c r="M126" t="str">
        <f>IF(Table1[[#This Row],[Study_Hours_per_Week]]&lt;=5, "0-5",
 IF(Table1[[#This Row],[Study_Hours_per_Week]]&lt;=10, "6-10",
 IF(Table1[[#This Row],[Study_Hours_per_Week]]&lt;=15, "11-15",
 IF(Table1[[#This Row],[Study_Hours_per_Week]]&lt;=20, "16-20", "21+"))))</f>
        <v>16-20</v>
      </c>
      <c r="N126" t="str">
        <f>IF(Table1[[#This Row],[GPA]] &gt;= 2, "Pass", "Fail")</f>
        <v>Fail</v>
      </c>
      <c r="O126">
        <v>1.2729999999999999</v>
      </c>
      <c r="P126" t="str">
        <f t="shared" si="3"/>
        <v>Good</v>
      </c>
    </row>
    <row r="127" spans="1:16" hidden="1" x14ac:dyDescent="0.3">
      <c r="A127">
        <v>1126</v>
      </c>
      <c r="B127" t="s">
        <v>16</v>
      </c>
      <c r="C127">
        <v>19</v>
      </c>
      <c r="D127" t="s">
        <v>13</v>
      </c>
      <c r="E127" s="7">
        <v>18</v>
      </c>
      <c r="F127" s="6">
        <v>86.9</v>
      </c>
      <c r="G127">
        <v>9</v>
      </c>
      <c r="H127" s="4">
        <v>0.88</v>
      </c>
      <c r="I127" t="s">
        <v>17</v>
      </c>
      <c r="J127">
        <v>4</v>
      </c>
      <c r="K127">
        <v>7.8</v>
      </c>
      <c r="L127" t="s">
        <v>18</v>
      </c>
      <c r="M127" t="str">
        <f>IF(Table1[[#This Row],[Study_Hours_per_Week]]&lt;=5, "0-5",
 IF(Table1[[#This Row],[Study_Hours_per_Week]]&lt;=10, "6-10",
 IF(Table1[[#This Row],[Study_Hours_per_Week]]&lt;=15, "11-15",
 IF(Table1[[#This Row],[Study_Hours_per_Week]]&lt;=20, "16-20", "21+"))))</f>
        <v>16-20</v>
      </c>
      <c r="N127" t="str">
        <f>IF(Table1[[#This Row],[GPA]] &gt;= 2, "Pass", "Fail")</f>
        <v>Fail</v>
      </c>
      <c r="O127">
        <v>0.76700000000000002</v>
      </c>
      <c r="P127" t="str">
        <f t="shared" si="3"/>
        <v>Below Average</v>
      </c>
    </row>
    <row r="128" spans="1:16" hidden="1" x14ac:dyDescent="0.3">
      <c r="A128">
        <v>1127</v>
      </c>
      <c r="B128" t="s">
        <v>16</v>
      </c>
      <c r="C128">
        <v>23</v>
      </c>
      <c r="D128" t="s">
        <v>13</v>
      </c>
      <c r="E128" s="7">
        <v>18</v>
      </c>
      <c r="F128" s="6">
        <v>86.9</v>
      </c>
      <c r="G128">
        <v>7</v>
      </c>
      <c r="H128" s="4">
        <v>1.41</v>
      </c>
      <c r="I128" t="s">
        <v>14</v>
      </c>
      <c r="J128">
        <v>2</v>
      </c>
      <c r="K128">
        <v>6.7</v>
      </c>
      <c r="L128" t="s">
        <v>18</v>
      </c>
      <c r="M128" t="str">
        <f>IF(Table1[[#This Row],[Study_Hours_per_Week]]&lt;=5, "0-5",
 IF(Table1[[#This Row],[Study_Hours_per_Week]]&lt;=10, "6-10",
 IF(Table1[[#This Row],[Study_Hours_per_Week]]&lt;=15, "11-15",
 IF(Table1[[#This Row],[Study_Hours_per_Week]]&lt;=20, "16-20", "21+"))))</f>
        <v>16-20</v>
      </c>
      <c r="N128" t="str">
        <f>IF(Table1[[#This Row],[GPA]] &gt;= 2, "Pass", "Fail")</f>
        <v>Fail</v>
      </c>
      <c r="O128">
        <v>1.1220000000000001</v>
      </c>
      <c r="P128" t="str">
        <f t="shared" si="3"/>
        <v>Good</v>
      </c>
    </row>
    <row r="129" spans="1:16" hidden="1" x14ac:dyDescent="0.3">
      <c r="A129">
        <v>1128</v>
      </c>
      <c r="B129" t="s">
        <v>12</v>
      </c>
      <c r="C129">
        <v>19</v>
      </c>
      <c r="D129" t="s">
        <v>13</v>
      </c>
      <c r="E129" s="7">
        <v>18</v>
      </c>
      <c r="F129" s="6">
        <v>86.9</v>
      </c>
      <c r="G129">
        <v>8</v>
      </c>
      <c r="H129" s="4">
        <v>1.04</v>
      </c>
      <c r="I129" t="s">
        <v>14</v>
      </c>
      <c r="J129">
        <v>5</v>
      </c>
      <c r="K129">
        <v>4.7</v>
      </c>
      <c r="L129" t="s">
        <v>15</v>
      </c>
      <c r="M129" t="str">
        <f>IF(Table1[[#This Row],[Study_Hours_per_Week]]&lt;=5, "0-5",
 IF(Table1[[#This Row],[Study_Hours_per_Week]]&lt;=10, "6-10",
 IF(Table1[[#This Row],[Study_Hours_per_Week]]&lt;=15, "11-15",
 IF(Table1[[#This Row],[Study_Hours_per_Week]]&lt;=20, "16-20", "21+"))))</f>
        <v>16-20</v>
      </c>
      <c r="N129" t="str">
        <f>IF(Table1[[#This Row],[GPA]] &gt;= 2, "Pass", "Fail")</f>
        <v>Fail</v>
      </c>
      <c r="O129">
        <v>0.91400000000000003</v>
      </c>
      <c r="P129" t="str">
        <f t="shared" si="3"/>
        <v>Average</v>
      </c>
    </row>
    <row r="130" spans="1:16" hidden="1" x14ac:dyDescent="0.3">
      <c r="A130">
        <v>1129</v>
      </c>
      <c r="B130" t="s">
        <v>16</v>
      </c>
      <c r="C130">
        <v>21</v>
      </c>
      <c r="D130" t="s">
        <v>13</v>
      </c>
      <c r="E130" s="7">
        <v>18</v>
      </c>
      <c r="F130" s="6">
        <v>86.9</v>
      </c>
      <c r="G130">
        <v>9</v>
      </c>
      <c r="H130" s="4">
        <v>1.2</v>
      </c>
      <c r="I130" t="s">
        <v>14</v>
      </c>
      <c r="J130">
        <v>8</v>
      </c>
      <c r="K130">
        <v>8.1999999999999993</v>
      </c>
      <c r="L130" t="s">
        <v>18</v>
      </c>
      <c r="M130" t="str">
        <f>IF(Table1[[#This Row],[Study_Hours_per_Week]]&lt;=5, "0-5",
 IF(Table1[[#This Row],[Study_Hours_per_Week]]&lt;=10, "6-10",
 IF(Table1[[#This Row],[Study_Hours_per_Week]]&lt;=15, "11-15",
 IF(Table1[[#This Row],[Study_Hours_per_Week]]&lt;=20, "16-20", "21+"))))</f>
        <v>16-20</v>
      </c>
      <c r="N130" t="str">
        <f>IF(Table1[[#This Row],[GPA]] &gt;= 2, "Pass", "Fail")</f>
        <v>Fail</v>
      </c>
      <c r="O130">
        <v>0.97899999999999998</v>
      </c>
      <c r="P130" t="str">
        <f t="shared" ref="P130:P141" si="4">IF(H130&gt;=1.8,"Excellent",IF(H130&gt;=1.4,"Good",IF(H130&gt;=1,"Average","Below Average")))</f>
        <v>Average</v>
      </c>
    </row>
    <row r="131" spans="1:16" hidden="1" x14ac:dyDescent="0.3">
      <c r="A131">
        <v>1130</v>
      </c>
      <c r="B131" t="s">
        <v>16</v>
      </c>
      <c r="C131">
        <v>20</v>
      </c>
      <c r="D131" t="s">
        <v>13</v>
      </c>
      <c r="E131" s="7">
        <v>18</v>
      </c>
      <c r="F131" s="6">
        <v>86.9</v>
      </c>
      <c r="G131">
        <v>6</v>
      </c>
      <c r="H131" s="4">
        <v>1.21</v>
      </c>
      <c r="I131" t="s">
        <v>19</v>
      </c>
      <c r="J131">
        <v>3</v>
      </c>
      <c r="K131">
        <v>5.6</v>
      </c>
      <c r="L131" t="s">
        <v>18</v>
      </c>
      <c r="M131" t="str">
        <f>IF(Table1[[#This Row],[Study_Hours_per_Week]]&lt;=5, "0-5",
 IF(Table1[[#This Row],[Study_Hours_per_Week]]&lt;=10, "6-10",
 IF(Table1[[#This Row],[Study_Hours_per_Week]]&lt;=15, "11-15",
 IF(Table1[[#This Row],[Study_Hours_per_Week]]&lt;=20, "16-20", "21+"))))</f>
        <v>16-20</v>
      </c>
      <c r="N131" t="str">
        <f>IF(Table1[[#This Row],[GPA]] &gt;= 2, "Pass", "Fail")</f>
        <v>Fail</v>
      </c>
      <c r="O131">
        <v>0.95199999999999996</v>
      </c>
      <c r="P131" t="str">
        <f t="shared" si="4"/>
        <v>Average</v>
      </c>
    </row>
    <row r="132" spans="1:16" x14ac:dyDescent="0.3">
      <c r="A132">
        <v>1131</v>
      </c>
      <c r="B132" t="s">
        <v>12</v>
      </c>
      <c r="C132">
        <v>23</v>
      </c>
      <c r="D132" t="s">
        <v>13</v>
      </c>
      <c r="E132" s="7">
        <v>18</v>
      </c>
      <c r="F132" s="6">
        <v>86.9</v>
      </c>
      <c r="G132">
        <v>7</v>
      </c>
      <c r="H132" s="4">
        <v>1.23</v>
      </c>
      <c r="I132" t="s">
        <v>17</v>
      </c>
      <c r="J132">
        <v>2</v>
      </c>
      <c r="K132">
        <v>4.7</v>
      </c>
      <c r="L132" t="s">
        <v>15</v>
      </c>
      <c r="M132" t="str">
        <f>IF(Table1[[#This Row],[Study_Hours_per_Week]]&lt;=5, "0-5",
 IF(Table1[[#This Row],[Study_Hours_per_Week]]&lt;=10, "6-10",
 IF(Table1[[#This Row],[Study_Hours_per_Week]]&lt;=15, "11-15",
 IF(Table1[[#This Row],[Study_Hours_per_Week]]&lt;=20, "16-20", "21+"))))</f>
        <v>16-20</v>
      </c>
      <c r="N132" t="str">
        <f>IF(Table1[[#This Row],[GPA]] &gt;= 2, "Pass", "Fail")</f>
        <v>Fail</v>
      </c>
      <c r="O132">
        <v>0.995</v>
      </c>
      <c r="P132" t="str">
        <f t="shared" si="4"/>
        <v>Average</v>
      </c>
    </row>
    <row r="133" spans="1:16" x14ac:dyDescent="0.3">
      <c r="A133">
        <v>1132</v>
      </c>
      <c r="B133" t="s">
        <v>16</v>
      </c>
      <c r="C133">
        <v>23</v>
      </c>
      <c r="D133" t="s">
        <v>13</v>
      </c>
      <c r="E133" s="7">
        <v>18</v>
      </c>
      <c r="F133" s="6">
        <v>86.9</v>
      </c>
      <c r="G133">
        <v>9</v>
      </c>
      <c r="H133" s="4">
        <v>1.1100000000000001</v>
      </c>
      <c r="I133" t="s">
        <v>17</v>
      </c>
      <c r="J133">
        <v>2</v>
      </c>
      <c r="K133">
        <v>8.9</v>
      </c>
      <c r="L133" t="s">
        <v>15</v>
      </c>
      <c r="M133" t="str">
        <f>IF(Table1[[#This Row],[Study_Hours_per_Week]]&lt;=5, "0-5",
 IF(Table1[[#This Row],[Study_Hours_per_Week]]&lt;=10, "6-10",
 IF(Table1[[#This Row],[Study_Hours_per_Week]]&lt;=15, "11-15",
 IF(Table1[[#This Row],[Study_Hours_per_Week]]&lt;=20, "16-20", "21+"))))</f>
        <v>16-20</v>
      </c>
      <c r="N133" t="str">
        <f>IF(Table1[[#This Row],[GPA]] &gt;= 2, "Pass", "Fail")</f>
        <v>Fail</v>
      </c>
      <c r="O133">
        <v>0.89100000000000001</v>
      </c>
      <c r="P133" t="str">
        <f t="shared" si="4"/>
        <v>Average</v>
      </c>
    </row>
    <row r="134" spans="1:16" hidden="1" x14ac:dyDescent="0.3">
      <c r="A134">
        <v>1133</v>
      </c>
      <c r="B134" t="s">
        <v>12</v>
      </c>
      <c r="C134">
        <v>22</v>
      </c>
      <c r="D134" t="s">
        <v>13</v>
      </c>
      <c r="E134" s="7">
        <v>18</v>
      </c>
      <c r="F134" s="6">
        <v>86.9</v>
      </c>
      <c r="G134">
        <v>5</v>
      </c>
      <c r="H134" s="4">
        <v>1.51</v>
      </c>
      <c r="I134" t="s">
        <v>19</v>
      </c>
      <c r="J134">
        <v>10</v>
      </c>
      <c r="K134">
        <v>6.2</v>
      </c>
      <c r="L134" t="s">
        <v>18</v>
      </c>
      <c r="M134" t="str">
        <f>IF(Table1[[#This Row],[Study_Hours_per_Week]]&lt;=5, "0-5",
 IF(Table1[[#This Row],[Study_Hours_per_Week]]&lt;=10, "6-10",
 IF(Table1[[#This Row],[Study_Hours_per_Week]]&lt;=15, "11-15",
 IF(Table1[[#This Row],[Study_Hours_per_Week]]&lt;=20, "16-20", "21+"))))</f>
        <v>16-20</v>
      </c>
      <c r="N134" t="str">
        <f>IF(Table1[[#This Row],[GPA]] &gt;= 2, "Pass", "Fail")</f>
        <v>Fail</v>
      </c>
      <c r="O134">
        <v>1.163</v>
      </c>
      <c r="P134" t="str">
        <f t="shared" si="4"/>
        <v>Good</v>
      </c>
    </row>
    <row r="135" spans="1:16" x14ac:dyDescent="0.3">
      <c r="A135">
        <v>1134</v>
      </c>
      <c r="B135" t="s">
        <v>12</v>
      </c>
      <c r="C135">
        <v>20</v>
      </c>
      <c r="D135" t="s">
        <v>13</v>
      </c>
      <c r="E135" s="7">
        <v>18</v>
      </c>
      <c r="F135" s="6">
        <v>86.9</v>
      </c>
      <c r="G135">
        <v>8</v>
      </c>
      <c r="H135" s="4">
        <v>1.77</v>
      </c>
      <c r="I135" t="s">
        <v>17</v>
      </c>
      <c r="J135">
        <v>6</v>
      </c>
      <c r="K135">
        <v>8.6</v>
      </c>
      <c r="L135" t="s">
        <v>15</v>
      </c>
      <c r="M135" t="str">
        <f>IF(Table1[[#This Row],[Study_Hours_per_Week]]&lt;=5, "0-5",
 IF(Table1[[#This Row],[Study_Hours_per_Week]]&lt;=10, "6-10",
 IF(Table1[[#This Row],[Study_Hours_per_Week]]&lt;=15, "11-15",
 IF(Table1[[#This Row],[Study_Hours_per_Week]]&lt;=20, "16-20", "21+"))))</f>
        <v>16-20</v>
      </c>
      <c r="N135" t="str">
        <f>IF(Table1[[#This Row],[GPA]] &gt;= 2, "Pass", "Fail")</f>
        <v>Fail</v>
      </c>
      <c r="O135">
        <v>1.3240000000000001</v>
      </c>
      <c r="P135" t="str">
        <f t="shared" si="4"/>
        <v>Good</v>
      </c>
    </row>
    <row r="136" spans="1:16" hidden="1" x14ac:dyDescent="0.3">
      <c r="A136">
        <v>1135</v>
      </c>
      <c r="B136" t="s">
        <v>12</v>
      </c>
      <c r="C136">
        <v>18</v>
      </c>
      <c r="D136" t="s">
        <v>13</v>
      </c>
      <c r="E136" s="7">
        <v>18</v>
      </c>
      <c r="F136" s="6">
        <v>86.9</v>
      </c>
      <c r="G136">
        <v>6</v>
      </c>
      <c r="H136" s="4">
        <v>1.47</v>
      </c>
      <c r="I136" t="s">
        <v>19</v>
      </c>
      <c r="J136">
        <v>3</v>
      </c>
      <c r="K136">
        <v>5.0999999999999996</v>
      </c>
      <c r="L136" t="s">
        <v>18</v>
      </c>
      <c r="M136" t="str">
        <f>IF(Table1[[#This Row],[Study_Hours_per_Week]]&lt;=5, "0-5",
 IF(Table1[[#This Row],[Study_Hours_per_Week]]&lt;=10, "6-10",
 IF(Table1[[#This Row],[Study_Hours_per_Week]]&lt;=15, "11-15",
 IF(Table1[[#This Row],[Study_Hours_per_Week]]&lt;=20, "16-20", "21+"))))</f>
        <v>16-20</v>
      </c>
      <c r="N136" t="str">
        <f>IF(Table1[[#This Row],[GPA]] &gt;= 2, "Pass", "Fail")</f>
        <v>Fail</v>
      </c>
      <c r="O136">
        <v>1.121</v>
      </c>
      <c r="P136" t="str">
        <f t="shared" si="4"/>
        <v>Good</v>
      </c>
    </row>
    <row r="137" spans="1:16" hidden="1" x14ac:dyDescent="0.3">
      <c r="A137">
        <v>1136</v>
      </c>
      <c r="B137" t="s">
        <v>16</v>
      </c>
      <c r="C137">
        <v>24</v>
      </c>
      <c r="D137" t="s">
        <v>13</v>
      </c>
      <c r="E137" s="7">
        <v>18</v>
      </c>
      <c r="F137" s="6">
        <v>86.9</v>
      </c>
      <c r="G137">
        <v>5</v>
      </c>
      <c r="H137" s="4">
        <v>1.32</v>
      </c>
      <c r="I137" t="s">
        <v>14</v>
      </c>
      <c r="J137">
        <v>5</v>
      </c>
      <c r="K137">
        <v>7.4</v>
      </c>
      <c r="L137" t="s">
        <v>15</v>
      </c>
      <c r="M137" t="str">
        <f>IF(Table1[[#This Row],[Study_Hours_per_Week]]&lt;=5, "0-5",
 IF(Table1[[#This Row],[Study_Hours_per_Week]]&lt;=10, "6-10",
 IF(Table1[[#This Row],[Study_Hours_per_Week]]&lt;=15, "11-15",
 IF(Table1[[#This Row],[Study_Hours_per_Week]]&lt;=20, "16-20", "21+"))))</f>
        <v>16-20</v>
      </c>
      <c r="N137" t="str">
        <f>IF(Table1[[#This Row],[GPA]] &gt;= 2, "Pass", "Fail")</f>
        <v>Fail</v>
      </c>
      <c r="O137">
        <v>1.042</v>
      </c>
      <c r="P137" t="str">
        <f t="shared" si="4"/>
        <v>Average</v>
      </c>
    </row>
    <row r="138" spans="1:16" hidden="1" x14ac:dyDescent="0.3">
      <c r="A138">
        <v>1137</v>
      </c>
      <c r="B138" t="s">
        <v>16</v>
      </c>
      <c r="C138">
        <v>21</v>
      </c>
      <c r="D138" t="s">
        <v>13</v>
      </c>
      <c r="E138" s="7">
        <v>18</v>
      </c>
      <c r="F138" s="6">
        <v>86.9</v>
      </c>
      <c r="G138">
        <v>10</v>
      </c>
      <c r="H138" s="4">
        <v>1.21</v>
      </c>
      <c r="I138" t="s">
        <v>14</v>
      </c>
      <c r="J138">
        <v>3</v>
      </c>
      <c r="K138">
        <v>5.9</v>
      </c>
      <c r="L138" t="s">
        <v>15</v>
      </c>
      <c r="M138" t="str">
        <f>IF(Table1[[#This Row],[Study_Hours_per_Week]]&lt;=5, "0-5",
 IF(Table1[[#This Row],[Study_Hours_per_Week]]&lt;=10, "6-10",
 IF(Table1[[#This Row],[Study_Hours_per_Week]]&lt;=15, "11-15",
 IF(Table1[[#This Row],[Study_Hours_per_Week]]&lt;=20, "16-20", "21+"))))</f>
        <v>16-20</v>
      </c>
      <c r="N138" t="str">
        <f>IF(Table1[[#This Row],[GPA]] &gt;= 2, "Pass", "Fail")</f>
        <v>Fail</v>
      </c>
      <c r="O138">
        <v>0.94699999999999995</v>
      </c>
      <c r="P138" t="str">
        <f t="shared" si="4"/>
        <v>Average</v>
      </c>
    </row>
    <row r="139" spans="1:16" hidden="1" x14ac:dyDescent="0.3">
      <c r="A139">
        <v>1138</v>
      </c>
      <c r="B139" t="s">
        <v>12</v>
      </c>
      <c r="C139">
        <v>18</v>
      </c>
      <c r="D139" t="s">
        <v>13</v>
      </c>
      <c r="E139" s="7">
        <v>18</v>
      </c>
      <c r="F139" s="6">
        <v>86.9</v>
      </c>
      <c r="G139">
        <v>7</v>
      </c>
      <c r="H139" s="4">
        <v>1.1499999999999999</v>
      </c>
      <c r="I139" t="s">
        <v>14</v>
      </c>
      <c r="J139">
        <v>5</v>
      </c>
      <c r="K139">
        <v>7.9</v>
      </c>
      <c r="L139" t="s">
        <v>15</v>
      </c>
      <c r="M139" t="str">
        <f>IF(Table1[[#This Row],[Study_Hours_per_Week]]&lt;=5, "0-5",
 IF(Table1[[#This Row],[Study_Hours_per_Week]]&lt;=10, "6-10",
 IF(Table1[[#This Row],[Study_Hours_per_Week]]&lt;=15, "11-15",
 IF(Table1[[#This Row],[Study_Hours_per_Week]]&lt;=20, "16-20", "21+"))))</f>
        <v>16-20</v>
      </c>
      <c r="N139" t="str">
        <f>IF(Table1[[#This Row],[GPA]] &gt;= 2, "Pass", "Fail")</f>
        <v>Fail</v>
      </c>
      <c r="O139">
        <v>0.96599999999999997</v>
      </c>
      <c r="P139" t="str">
        <f t="shared" si="4"/>
        <v>Average</v>
      </c>
    </row>
    <row r="140" spans="1:16" hidden="1" x14ac:dyDescent="0.3">
      <c r="A140">
        <v>1139</v>
      </c>
      <c r="B140" t="s">
        <v>16</v>
      </c>
      <c r="C140">
        <v>19</v>
      </c>
      <c r="D140" t="s">
        <v>13</v>
      </c>
      <c r="E140" s="7">
        <v>18</v>
      </c>
      <c r="F140" s="6">
        <v>86.9</v>
      </c>
      <c r="G140">
        <v>7</v>
      </c>
      <c r="H140" s="4">
        <v>1.57</v>
      </c>
      <c r="I140" t="s">
        <v>17</v>
      </c>
      <c r="J140">
        <v>10</v>
      </c>
      <c r="K140">
        <v>7.1</v>
      </c>
      <c r="L140" t="s">
        <v>18</v>
      </c>
      <c r="M140" t="str">
        <f>IF(Table1[[#This Row],[Study_Hours_per_Week]]&lt;=5, "0-5",
 IF(Table1[[#This Row],[Study_Hours_per_Week]]&lt;=10, "6-10",
 IF(Table1[[#This Row],[Study_Hours_per_Week]]&lt;=15, "11-15",
 IF(Table1[[#This Row],[Study_Hours_per_Week]]&lt;=20, "16-20", "21+"))))</f>
        <v>16-20</v>
      </c>
      <c r="N140" t="str">
        <f>IF(Table1[[#This Row],[GPA]] &gt;= 2, "Pass", "Fail")</f>
        <v>Fail</v>
      </c>
      <c r="O140">
        <v>1.2</v>
      </c>
      <c r="P140" t="str">
        <f t="shared" si="4"/>
        <v>Good</v>
      </c>
    </row>
    <row r="141" spans="1:16" hidden="1" x14ac:dyDescent="0.3">
      <c r="A141">
        <v>1140</v>
      </c>
      <c r="B141" t="s">
        <v>12</v>
      </c>
      <c r="C141">
        <v>24</v>
      </c>
      <c r="D141" t="s">
        <v>13</v>
      </c>
      <c r="E141" s="7">
        <v>18</v>
      </c>
      <c r="F141" s="6">
        <v>86.9</v>
      </c>
      <c r="G141">
        <v>10</v>
      </c>
      <c r="H141" s="4">
        <v>1.1299999999999999</v>
      </c>
      <c r="I141" t="s">
        <v>14</v>
      </c>
      <c r="J141">
        <v>6</v>
      </c>
      <c r="K141">
        <v>5.7</v>
      </c>
      <c r="L141" t="s">
        <v>15</v>
      </c>
      <c r="M141" t="str">
        <f>IF(Table1[[#This Row],[Study_Hours_per_Week]]&lt;=5, "0-5",
 IF(Table1[[#This Row],[Study_Hours_per_Week]]&lt;=10, "6-10",
 IF(Table1[[#This Row],[Study_Hours_per_Week]]&lt;=15, "11-15",
 IF(Table1[[#This Row],[Study_Hours_per_Week]]&lt;=20, "16-20", "21+"))))</f>
        <v>16-20</v>
      </c>
      <c r="N141" t="str">
        <f>IF(Table1[[#This Row],[GPA]] &gt;= 2, "Pass", "Fail")</f>
        <v>Fail</v>
      </c>
      <c r="O141">
        <v>0.94199999999999995</v>
      </c>
      <c r="P141" t="str">
        <f t="shared" si="4"/>
        <v>Average</v>
      </c>
    </row>
  </sheetData>
  <conditionalFormatting sqref="H1:H141">
    <cfRule type="cellIs" dxfId="12" priority="8" operator="lessThan">
      <formula>1</formula>
    </cfRule>
    <cfRule type="expression" priority="9">
      <formula>INDIRECT("RC",0)&lt;1</formula>
    </cfRule>
  </conditionalFormatting>
  <conditionalFormatting sqref="F2:F141">
    <cfRule type="expression" dxfId="11" priority="1">
      <formula>F1&lt;70</formula>
    </cfRule>
    <cfRule type="expression" dxfId="10" priority="2">
      <formula>F2&lt;70</formula>
    </cfRule>
    <cfRule type="cellIs" dxfId="9" priority="6" operator="lessThan">
      <formula>0.7</formula>
    </cfRule>
    <cfRule type="cellIs" dxfId="8" priority="7" operator="lessThan">
      <formula>0.7</formula>
    </cfRule>
  </conditionalFormatting>
  <conditionalFormatting sqref="H2:H141">
    <cfRule type="cellIs" dxfId="7" priority="5" operator="lessThan">
      <formula>1</formula>
    </cfRule>
  </conditionalFormatting>
  <pageMargins left="0.75" right="0.75" top="1" bottom="1" header="0.5" footer="0.5"/>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tabSelected="1" workbookViewId="0">
      <selection activeCell="C27" sqref="C27"/>
    </sheetView>
  </sheetViews>
  <sheetFormatPr defaultRowHeight="14.4" x14ac:dyDescent="0.3"/>
  <cols>
    <col min="1" max="1" width="23.109375" bestFit="1" customWidth="1"/>
    <col min="2" max="2" width="12" bestFit="1" customWidth="1"/>
    <col min="3" max="3" width="59.33203125" bestFit="1" customWidth="1"/>
    <col min="4" max="4" width="30.88671875" bestFit="1" customWidth="1"/>
  </cols>
  <sheetData>
    <row r="1" spans="1:4" x14ac:dyDescent="0.3">
      <c r="A1" t="s">
        <v>62</v>
      </c>
    </row>
    <row r="2" spans="1:4" x14ac:dyDescent="0.3">
      <c r="A2" t="s">
        <v>63</v>
      </c>
      <c r="B2" t="s">
        <v>21</v>
      </c>
      <c r="C2" t="s">
        <v>64</v>
      </c>
      <c r="D2" t="s">
        <v>24</v>
      </c>
    </row>
    <row r="3" spans="1:4" x14ac:dyDescent="0.3">
      <c r="A3" t="s">
        <v>39</v>
      </c>
      <c r="B3">
        <f>AVERAGE(Table1[GPA])</f>
        <v>1.2197142857142851</v>
      </c>
      <c r="C3" t="s">
        <v>80</v>
      </c>
      <c r="D3" t="s">
        <v>65</v>
      </c>
    </row>
    <row r="4" spans="1:4" x14ac:dyDescent="0.3">
      <c r="A4" t="s">
        <v>40</v>
      </c>
      <c r="B4">
        <f>COUNTIF(Table1[Pass_Fail],"Pass")/COUNTA(Table1[Pass_Fail])*100</f>
        <v>2.8571428571428572</v>
      </c>
      <c r="C4" t="s">
        <v>85</v>
      </c>
      <c r="D4" t="s">
        <v>66</v>
      </c>
    </row>
    <row r="5" spans="1:4" x14ac:dyDescent="0.3">
      <c r="A5" t="s">
        <v>41</v>
      </c>
      <c r="B5">
        <f>AVERAGE(Table1[Attendance_Percentage])</f>
        <v>86.899999999999778</v>
      </c>
      <c r="C5" t="s">
        <v>81</v>
      </c>
      <c r="D5" t="s">
        <v>67</v>
      </c>
    </row>
    <row r="6" spans="1:4" x14ac:dyDescent="0.3">
      <c r="A6" t="s">
        <v>42</v>
      </c>
      <c r="B6">
        <f>AVERAGE(Table1[Study_Hours_per_Week])</f>
        <v>18</v>
      </c>
      <c r="C6" t="s">
        <v>82</v>
      </c>
      <c r="D6" t="s">
        <v>68</v>
      </c>
    </row>
    <row r="8" spans="1:4" x14ac:dyDescent="0.3">
      <c r="A8" t="s">
        <v>69</v>
      </c>
    </row>
    <row r="9" spans="1:4" x14ac:dyDescent="0.3">
      <c r="A9" t="s">
        <v>63</v>
      </c>
      <c r="B9" t="s">
        <v>21</v>
      </c>
      <c r="C9" t="s">
        <v>64</v>
      </c>
      <c r="D9" t="s">
        <v>24</v>
      </c>
    </row>
    <row r="10" spans="1:4" x14ac:dyDescent="0.3">
      <c r="A10" t="s">
        <v>70</v>
      </c>
      <c r="B10">
        <f>AVERAGEIF(Table1[Gender],"Male",Table1[GPA])</f>
        <v>1.2346551724137931</v>
      </c>
      <c r="C10" t="s">
        <v>86</v>
      </c>
      <c r="D10" t="s">
        <v>71</v>
      </c>
    </row>
    <row r="11" spans="1:4" x14ac:dyDescent="0.3">
      <c r="A11" t="s">
        <v>72</v>
      </c>
      <c r="B11">
        <f>AVERAGEIF(Table1[Gender],"Female",Table1[GPA])</f>
        <v>1.2091463414634143</v>
      </c>
      <c r="C11" t="s">
        <v>83</v>
      </c>
      <c r="D11" t="s">
        <v>73</v>
      </c>
    </row>
    <row r="12" spans="1:4" x14ac:dyDescent="0.3">
      <c r="A12" t="s">
        <v>74</v>
      </c>
      <c r="B12">
        <f>COUNTIF(Table1[GPA],"&gt;=2")</f>
        <v>4</v>
      </c>
      <c r="C12" t="s">
        <v>87</v>
      </c>
      <c r="D12" t="s">
        <v>75</v>
      </c>
    </row>
    <row r="13" spans="1:4" x14ac:dyDescent="0.3">
      <c r="A13" t="s">
        <v>76</v>
      </c>
      <c r="B13">
        <f>COUNTIF(Table1[Stress_Level],"High")</f>
        <v>0</v>
      </c>
      <c r="C13" t="s">
        <v>88</v>
      </c>
      <c r="D13" t="s">
        <v>77</v>
      </c>
    </row>
    <row r="14" spans="1:4" x14ac:dyDescent="0.3">
      <c r="A14" t="s">
        <v>78</v>
      </c>
      <c r="B14">
        <f>AVERAGE(Table1[GPA]/Table1[Study_Hours_per_Week])</f>
        <v>0.08</v>
      </c>
      <c r="C14" t="s">
        <v>84</v>
      </c>
      <c r="D14" t="s">
        <v>79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workbookViewId="0">
      <selection activeCell="M4" sqref="M4"/>
    </sheetView>
  </sheetViews>
  <sheetFormatPr defaultRowHeight="14.4" x14ac:dyDescent="0.3"/>
  <cols>
    <col min="1" max="1" width="18.21875" bestFit="1" customWidth="1"/>
    <col min="2" max="2" width="8.77734375" bestFit="1" customWidth="1"/>
    <col min="3" max="3" width="6.109375" bestFit="1" customWidth="1"/>
  </cols>
  <sheetData>
    <row r="1" spans="1:3" x14ac:dyDescent="0.3">
      <c r="A1" s="1" t="s">
        <v>8</v>
      </c>
      <c r="B1" s="1" t="s">
        <v>43</v>
      </c>
      <c r="C1" s="1" t="s">
        <v>44</v>
      </c>
    </row>
    <row r="2" spans="1:3" x14ac:dyDescent="0.3">
      <c r="A2" t="s">
        <v>19</v>
      </c>
      <c r="B2">
        <v>1.33</v>
      </c>
      <c r="C2">
        <v>31</v>
      </c>
    </row>
    <row r="3" spans="1:3" x14ac:dyDescent="0.3">
      <c r="A3" t="s">
        <v>17</v>
      </c>
      <c r="B3">
        <v>1.18</v>
      </c>
      <c r="C3">
        <v>31</v>
      </c>
    </row>
    <row r="4" spans="1:3" x14ac:dyDescent="0.3">
      <c r="A4" t="s">
        <v>14</v>
      </c>
      <c r="B4">
        <v>1.19</v>
      </c>
      <c r="C4">
        <v>78</v>
      </c>
    </row>
    <row r="9" spans="1:3" x14ac:dyDescent="0.3">
      <c r="A9" s="1" t="s">
        <v>29</v>
      </c>
      <c r="B9" s="1" t="s">
        <v>43</v>
      </c>
      <c r="C9" s="1" t="s">
        <v>44</v>
      </c>
    </row>
    <row r="10" spans="1:3" x14ac:dyDescent="0.3">
      <c r="A10" t="s">
        <v>38</v>
      </c>
      <c r="B10">
        <v>1.2</v>
      </c>
      <c r="C10">
        <v>6</v>
      </c>
    </row>
    <row r="11" spans="1:3" x14ac:dyDescent="0.3">
      <c r="A11" t="s">
        <v>34</v>
      </c>
      <c r="B11">
        <v>1.01</v>
      </c>
      <c r="C11">
        <v>17</v>
      </c>
    </row>
    <row r="12" spans="1:3" x14ac:dyDescent="0.3">
      <c r="A12" t="s">
        <v>35</v>
      </c>
      <c r="B12">
        <v>1.1299999999999999</v>
      </c>
      <c r="C12">
        <v>44</v>
      </c>
    </row>
    <row r="13" spans="1:3" x14ac:dyDescent="0.3">
      <c r="A13" t="s">
        <v>32</v>
      </c>
      <c r="B13">
        <v>1.28</v>
      </c>
      <c r="C13">
        <v>46</v>
      </c>
    </row>
    <row r="14" spans="1:3" x14ac:dyDescent="0.3">
      <c r="A14" t="s">
        <v>36</v>
      </c>
      <c r="B14">
        <v>1.4</v>
      </c>
      <c r="C14">
        <v>27</v>
      </c>
    </row>
    <row r="17" spans="1:3" x14ac:dyDescent="0.3">
      <c r="A17" s="1" t="s">
        <v>11</v>
      </c>
      <c r="B17" s="1" t="s">
        <v>43</v>
      </c>
      <c r="C17" s="1" t="s">
        <v>44</v>
      </c>
    </row>
    <row r="18" spans="1:3" x14ac:dyDescent="0.3">
      <c r="A18" t="s">
        <v>18</v>
      </c>
      <c r="B18">
        <v>1.23</v>
      </c>
      <c r="C18">
        <v>79</v>
      </c>
    </row>
    <row r="19" spans="1:3" x14ac:dyDescent="0.3">
      <c r="A19" t="s">
        <v>15</v>
      </c>
      <c r="B19">
        <v>1.21</v>
      </c>
      <c r="C19">
        <v>61</v>
      </c>
    </row>
    <row r="25" spans="1:3" x14ac:dyDescent="0.3">
      <c r="A25" s="1" t="s">
        <v>30</v>
      </c>
      <c r="B25" s="1" t="s">
        <v>44</v>
      </c>
    </row>
    <row r="26" spans="1:3" x14ac:dyDescent="0.3">
      <c r="A26" t="s">
        <v>33</v>
      </c>
      <c r="B26">
        <v>136</v>
      </c>
    </row>
    <row r="27" spans="1:3" x14ac:dyDescent="0.3">
      <c r="A27" t="s">
        <v>37</v>
      </c>
      <c r="B27">
        <v>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4.4" x14ac:dyDescent="0.3"/>
  <sheetData>
    <row r="1" spans="1:2" x14ac:dyDescent="0.3">
      <c r="A1" s="1" t="s">
        <v>45</v>
      </c>
      <c r="B1" s="1" t="s">
        <v>28</v>
      </c>
    </row>
    <row r="2" spans="1:2" x14ac:dyDescent="0.3">
      <c r="A2" t="s">
        <v>46</v>
      </c>
      <c r="B2" t="s">
        <v>47</v>
      </c>
    </row>
    <row r="3" spans="1:2" x14ac:dyDescent="0.3">
      <c r="A3" t="s">
        <v>48</v>
      </c>
      <c r="B3" t="s">
        <v>49</v>
      </c>
    </row>
    <row r="4" spans="1:2" x14ac:dyDescent="0.3">
      <c r="A4" t="s">
        <v>50</v>
      </c>
      <c r="B4" t="s">
        <v>51</v>
      </c>
    </row>
    <row r="5" spans="1:2" x14ac:dyDescent="0.3">
      <c r="A5" t="s">
        <v>52</v>
      </c>
      <c r="B5" t="s">
        <v>53</v>
      </c>
    </row>
    <row r="6" spans="1:2" x14ac:dyDescent="0.3">
      <c r="A6" t="s">
        <v>54</v>
      </c>
      <c r="B6" t="s">
        <v>55</v>
      </c>
    </row>
    <row r="7" spans="1:2" x14ac:dyDescent="0.3">
      <c r="A7" t="s">
        <v>56</v>
      </c>
      <c r="B7" t="s">
        <v>57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G10" sqref="G10"/>
    </sheetView>
  </sheetViews>
  <sheetFormatPr defaultRowHeight="14.4" x14ac:dyDescent="0.3"/>
  <cols>
    <col min="1" max="1" width="12.5546875" bestFit="1" customWidth="1"/>
    <col min="2" max="2" width="28.109375" bestFit="1" customWidth="1"/>
  </cols>
  <sheetData>
    <row r="1" spans="1:2" x14ac:dyDescent="0.3">
      <c r="A1" s="19" t="s">
        <v>106</v>
      </c>
      <c r="B1" t="s">
        <v>107</v>
      </c>
    </row>
    <row r="2" spans="1:2" x14ac:dyDescent="0.3">
      <c r="A2" s="20" t="s">
        <v>19</v>
      </c>
      <c r="B2" s="21">
        <v>2693.9000000000015</v>
      </c>
    </row>
    <row r="3" spans="1:2" x14ac:dyDescent="0.3">
      <c r="A3" s="20" t="s">
        <v>17</v>
      </c>
      <c r="B3" s="21">
        <v>2693.9000000000015</v>
      </c>
    </row>
    <row r="4" spans="1:2" x14ac:dyDescent="0.3">
      <c r="A4" s="20" t="s">
        <v>14</v>
      </c>
      <c r="B4" s="21">
        <v>6778.1999999999916</v>
      </c>
    </row>
    <row r="5" spans="1:2" x14ac:dyDescent="0.3">
      <c r="A5" s="20" t="s">
        <v>108</v>
      </c>
      <c r="B5" s="21">
        <v>12165.999999999995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zoomScale="85" workbookViewId="0">
      <selection activeCell="E22" sqref="E22"/>
    </sheetView>
  </sheetViews>
  <sheetFormatPr defaultRowHeight="14.4" x14ac:dyDescent="0.3"/>
  <cols>
    <col min="1" max="1" width="35.33203125" customWidth="1"/>
    <col min="2" max="2" width="12" bestFit="1" customWidth="1"/>
    <col min="3" max="3" width="11.88671875" bestFit="1" customWidth="1"/>
    <col min="4" max="10" width="10.44140625" customWidth="1"/>
    <col min="11" max="16" width="11.44140625" customWidth="1"/>
  </cols>
  <sheetData>
    <row r="1" spans="1:4" ht="15" thickBot="1" x14ac:dyDescent="0.35">
      <c r="A1" s="10" t="s">
        <v>89</v>
      </c>
      <c r="B1" s="11" t="s">
        <v>103</v>
      </c>
      <c r="C1" s="11" t="s">
        <v>104</v>
      </c>
      <c r="D1" s="11" t="s">
        <v>105</v>
      </c>
    </row>
    <row r="2" spans="1:4" ht="15" thickTop="1" x14ac:dyDescent="0.3">
      <c r="A2" s="12" t="s">
        <v>90</v>
      </c>
      <c r="B2" s="13"/>
      <c r="C2" s="13" t="s">
        <v>91</v>
      </c>
      <c r="D2" s="13"/>
    </row>
    <row r="3" spans="1:4" x14ac:dyDescent="0.3">
      <c r="A3" s="14" t="s">
        <v>39</v>
      </c>
      <c r="B3" s="9">
        <f>ROUND(Analysis!B3, 2)</f>
        <v>1.22</v>
      </c>
      <c r="C3" s="9" t="s">
        <v>92</v>
      </c>
      <c r="D3" s="9" t="s">
        <v>93</v>
      </c>
    </row>
    <row r="4" spans="1:4" x14ac:dyDescent="0.3">
      <c r="A4" s="15" t="s">
        <v>40</v>
      </c>
      <c r="B4" s="16" t="str">
        <f>ROUND(Analysis!B4, 1)&amp;"%"</f>
        <v>2.9%</v>
      </c>
      <c r="C4" s="16" t="s">
        <v>94</v>
      </c>
      <c r="D4" s="16" t="s">
        <v>93</v>
      </c>
    </row>
    <row r="5" spans="1:4" x14ac:dyDescent="0.3">
      <c r="A5" s="14" t="s">
        <v>41</v>
      </c>
      <c r="B5" s="9">
        <f>Analysis!B5</f>
        <v>86.899999999999778</v>
      </c>
      <c r="C5" s="9" t="s">
        <v>95</v>
      </c>
      <c r="D5" s="9" t="s">
        <v>93</v>
      </c>
    </row>
    <row r="6" spans="1:4" x14ac:dyDescent="0.3">
      <c r="A6" s="15" t="s">
        <v>96</v>
      </c>
      <c r="B6" s="16">
        <f>Analysis!B6</f>
        <v>18</v>
      </c>
      <c r="C6" s="16" t="s">
        <v>97</v>
      </c>
      <c r="D6" s="16" t="s">
        <v>93</v>
      </c>
    </row>
    <row r="7" spans="1:4" x14ac:dyDescent="0.3">
      <c r="A7" s="14" t="s">
        <v>98</v>
      </c>
      <c r="B7" s="9">
        <f>COUNTA('[1]Clean Data'!A2:A141)</f>
        <v>140</v>
      </c>
      <c r="C7" s="9"/>
      <c r="D7" s="9"/>
    </row>
    <row r="8" spans="1:4" x14ac:dyDescent="0.3">
      <c r="A8" s="15"/>
      <c r="B8" s="16"/>
      <c r="C8" s="16"/>
      <c r="D8" s="16"/>
    </row>
    <row r="9" spans="1:4" x14ac:dyDescent="0.3">
      <c r="A9" s="14" t="s">
        <v>99</v>
      </c>
      <c r="B9" s="9"/>
      <c r="C9" s="9"/>
      <c r="D9" s="9"/>
    </row>
    <row r="10" spans="1:4" x14ac:dyDescent="0.3">
      <c r="A10" s="15" t="s">
        <v>100</v>
      </c>
      <c r="B10" s="16" t="s">
        <v>7</v>
      </c>
      <c r="C10" s="16" t="s">
        <v>101</v>
      </c>
      <c r="D10" s="16" t="s">
        <v>102</v>
      </c>
    </row>
    <row r="11" spans="1:4" x14ac:dyDescent="0.3">
      <c r="A11" s="14">
        <v>1053</v>
      </c>
      <c r="B11" s="9">
        <v>2.21</v>
      </c>
      <c r="C11" s="9">
        <v>26</v>
      </c>
      <c r="D11" s="17">
        <v>0.92700000000000005</v>
      </c>
    </row>
    <row r="12" spans="1:4" x14ac:dyDescent="0.3">
      <c r="A12" s="15">
        <v>1019</v>
      </c>
      <c r="B12" s="16">
        <v>2.0499999999999998</v>
      </c>
      <c r="C12" s="16">
        <v>21</v>
      </c>
      <c r="D12" s="18">
        <v>0.93200000000000005</v>
      </c>
    </row>
    <row r="13" spans="1:4" x14ac:dyDescent="0.3">
      <c r="A13" s="14">
        <v>1094</v>
      </c>
      <c r="B13" s="9">
        <v>2.0299999999999998</v>
      </c>
      <c r="C13" s="9">
        <v>22</v>
      </c>
      <c r="D13" s="17">
        <v>0.71199999999999997</v>
      </c>
    </row>
    <row r="14" spans="1:4" x14ac:dyDescent="0.3">
      <c r="A14" s="15">
        <v>1065</v>
      </c>
      <c r="B14" s="16">
        <v>2.02</v>
      </c>
      <c r="C14" s="16">
        <v>18</v>
      </c>
      <c r="D14" s="18">
        <v>0.89500000000000002</v>
      </c>
    </row>
  </sheetData>
  <pageMargins left="0.75" right="0.75" top="1" bottom="1" header="0.5" footer="0.5"/>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
  <sheetViews>
    <sheetView workbookViewId="0">
      <selection activeCell="G11" sqref="G11"/>
    </sheetView>
  </sheetViews>
  <sheetFormatPr defaultRowHeight="14.4" x14ac:dyDescent="0.3"/>
  <cols>
    <col min="1" max="1" width="34.109375" bestFit="1" customWidth="1"/>
  </cols>
  <sheetData>
    <row r="1" spans="1:1" ht="15" thickBot="1" x14ac:dyDescent="0.35">
      <c r="A1" s="10" t="s">
        <v>89</v>
      </c>
    </row>
    <row r="2" spans="1:1" ht="15" thickTop="1" x14ac:dyDescent="0.3">
      <c r="A2" s="12" t="s">
        <v>90</v>
      </c>
    </row>
    <row r="3" spans="1:1" x14ac:dyDescent="0.3">
      <c r="A3" s="14" t="s">
        <v>39</v>
      </c>
    </row>
    <row r="4" spans="1:1" x14ac:dyDescent="0.3">
      <c r="A4" s="15" t="s">
        <v>40</v>
      </c>
    </row>
    <row r="5" spans="1:1" x14ac:dyDescent="0.3">
      <c r="A5" s="14" t="s">
        <v>41</v>
      </c>
    </row>
    <row r="6" spans="1:1" x14ac:dyDescent="0.3">
      <c r="A6" s="15" t="s">
        <v>96</v>
      </c>
    </row>
    <row r="7" spans="1:1" x14ac:dyDescent="0.3">
      <c r="A7" s="14" t="s">
        <v>98</v>
      </c>
    </row>
    <row r="8" spans="1:1" x14ac:dyDescent="0.3">
      <c r="A8" s="15"/>
    </row>
    <row r="9" spans="1:1" x14ac:dyDescent="0.3">
      <c r="A9" s="14" t="s">
        <v>99</v>
      </c>
    </row>
    <row r="10" spans="1:1" x14ac:dyDescent="0.3">
      <c r="A10" s="15" t="s">
        <v>100</v>
      </c>
    </row>
    <row r="11" spans="1:1" x14ac:dyDescent="0.3">
      <c r="A11" s="14">
        <v>1053</v>
      </c>
    </row>
    <row r="12" spans="1:1" x14ac:dyDescent="0.3">
      <c r="A12" s="15">
        <v>1019</v>
      </c>
    </row>
    <row r="13" spans="1:1" x14ac:dyDescent="0.3">
      <c r="A13" s="14">
        <v>1094</v>
      </c>
    </row>
    <row r="14" spans="1:1" x14ac:dyDescent="0.3">
      <c r="A14" s="15">
        <v>1065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Data Overview</vt:lpstr>
      <vt:lpstr>Clean Data</vt:lpstr>
      <vt:lpstr>Analysis</vt:lpstr>
      <vt:lpstr>Pivot Analysis</vt:lpstr>
      <vt:lpstr>Reflection</vt:lpstr>
      <vt:lpstr>Sheet2</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2025-10-28T06:30:48Z</dcterms:created>
  <dcterms:modified xsi:type="dcterms:W3CDTF">2026-02-09T07:10:12Z</dcterms:modified>
</cp:coreProperties>
</file>